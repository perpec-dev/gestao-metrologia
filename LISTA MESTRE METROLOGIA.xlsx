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pec.sharepoint.com/sites/QUALIDADE/METROLOGIA/"/>
    </mc:Choice>
  </mc:AlternateContent>
  <xr:revisionPtr revIDLastSave="875" documentId="14_{5B3232C7-F64E-4DF3-8F5F-E2E1A3757F55}" xr6:coauthVersionLast="47" xr6:coauthVersionMax="47" xr10:uidLastSave="{84FB8506-B134-499A-AAAF-884592F9A61B}"/>
  <bookViews>
    <workbookView minimized="1" xWindow="4815" yWindow="-14370" windowWidth="15375" windowHeight="7785" tabRatio="511" firstSheet="1" activeTab="1" xr2:uid="{0ACD92C9-DEBE-4A15-BCEE-7390CC7FA325}"/>
  </bookViews>
  <sheets>
    <sheet name="Responsáveis por Instrumentos" sheetId="5" state="hidden" r:id="rId1"/>
    <sheet name="METROLOGIA " sheetId="1" r:id="rId2"/>
    <sheet name="Planilha1" sheetId="13" r:id="rId3"/>
    <sheet name="IMR" sheetId="12" r:id="rId4"/>
    <sheet name="Orçamento" sheetId="10" r:id="rId5"/>
  </sheets>
  <definedNames>
    <definedName name="_xlnm._FilterDatabase" localSheetId="3" hidden="1">IMR!$A$4:$I$30</definedName>
    <definedName name="_xlnm._FilterDatabase" localSheetId="1" hidden="1">'METROLOGIA '!$B$4:$O$4</definedName>
    <definedName name="_xlnm.Print_Area" localSheetId="1">'METROLOGIA '!$A$1:$E$238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7" i="1" l="1"/>
  <c r="P283" i="1"/>
  <c r="P124" i="1"/>
  <c r="P212" i="1"/>
  <c r="P208" i="1"/>
  <c r="P205" i="1"/>
  <c r="P203" i="1"/>
  <c r="P191" i="1"/>
  <c r="P189" i="1"/>
  <c r="P174" i="1"/>
  <c r="P101" i="1"/>
  <c r="P143" i="1"/>
  <c r="P136" i="1"/>
  <c r="P142" i="1"/>
  <c r="P141" i="1"/>
  <c r="P139" i="1"/>
  <c r="P137" i="1"/>
  <c r="P135" i="1"/>
  <c r="P134" i="1"/>
  <c r="P133" i="1"/>
  <c r="P129" i="1"/>
  <c r="P127" i="1"/>
  <c r="P125" i="1"/>
  <c r="P123" i="1"/>
  <c r="P122" i="1"/>
  <c r="P121" i="1"/>
  <c r="P120" i="1"/>
  <c r="P119" i="1"/>
  <c r="P118" i="1"/>
  <c r="P116" i="1"/>
  <c r="P167" i="1"/>
  <c r="P147" i="1"/>
  <c r="P303" i="1"/>
  <c r="P302" i="1"/>
  <c r="P144" i="1"/>
  <c r="P185" i="1"/>
  <c r="P194" i="1"/>
  <c r="P138" i="1"/>
  <c r="P140" i="1"/>
  <c r="P7" i="1"/>
  <c r="P186" i="1"/>
  <c r="P184" i="1"/>
  <c r="P187" i="1"/>
  <c r="P301" i="1"/>
  <c r="P300" i="1"/>
  <c r="P298" i="1"/>
  <c r="P299" i="1"/>
  <c r="P6" i="1"/>
  <c r="P290" i="1"/>
  <c r="P126" i="1"/>
  <c r="P287" i="1"/>
  <c r="P176" i="1"/>
  <c r="P175" i="1"/>
  <c r="P173" i="1"/>
  <c r="P172" i="1"/>
  <c r="P171" i="1"/>
  <c r="P170" i="1"/>
  <c r="P169" i="1"/>
  <c r="P166" i="1"/>
  <c r="P165" i="1"/>
  <c r="P164" i="1"/>
  <c r="P163" i="1"/>
  <c r="P162" i="1"/>
  <c r="P214" i="1"/>
  <c r="P201" i="1"/>
  <c r="P192" i="1"/>
  <c r="P213" i="1"/>
  <c r="P211" i="1"/>
  <c r="P210" i="1"/>
  <c r="P209" i="1"/>
  <c r="P207" i="1"/>
  <c r="P206" i="1"/>
  <c r="P204" i="1"/>
  <c r="P202" i="1"/>
  <c r="P200" i="1"/>
  <c r="P199" i="1"/>
  <c r="P198" i="1"/>
  <c r="P197" i="1"/>
  <c r="P196" i="1"/>
  <c r="P195" i="1"/>
  <c r="P193" i="1"/>
  <c r="P190" i="1"/>
  <c r="P102" i="1"/>
  <c r="P282" i="1"/>
  <c r="P215" i="1"/>
  <c r="P105" i="1"/>
  <c r="P145" i="1"/>
  <c r="P146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77" i="1"/>
  <c r="P178" i="1"/>
  <c r="P179" i="1"/>
  <c r="P180" i="1"/>
  <c r="P181" i="1"/>
  <c r="P182" i="1"/>
  <c r="P183" i="1"/>
  <c r="P188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4" i="1"/>
  <c r="P285" i="1"/>
  <c r="P286" i="1"/>
  <c r="P288" i="1"/>
  <c r="P289" i="1"/>
  <c r="P291" i="1"/>
  <c r="P292" i="1"/>
  <c r="P293" i="1"/>
  <c r="P294" i="1"/>
  <c r="P295" i="1"/>
  <c r="P296" i="1"/>
  <c r="P304" i="1"/>
  <c r="P305" i="1"/>
  <c r="P306" i="1"/>
  <c r="P307" i="1"/>
  <c r="P308" i="1"/>
  <c r="P309" i="1"/>
  <c r="P310" i="1"/>
  <c r="P130" i="1"/>
  <c r="P131" i="1"/>
  <c r="P132" i="1"/>
  <c r="P8" i="1"/>
  <c r="P27" i="1"/>
  <c r="P37" i="1"/>
  <c r="P5" i="1" l="1"/>
  <c r="P10" i="1"/>
  <c r="P9" i="1"/>
  <c r="P117" i="1"/>
  <c r="P14" i="1"/>
  <c r="P28" i="1"/>
  <c r="P29" i="1"/>
  <c r="P30" i="1"/>
  <c r="P31" i="1"/>
  <c r="P32" i="1"/>
  <c r="P33" i="1"/>
  <c r="P104" i="1"/>
  <c r="P114" i="1"/>
  <c r="P115" i="1"/>
  <c r="P107" i="1"/>
  <c r="P109" i="1"/>
  <c r="P96" i="1"/>
  <c r="P11" i="1"/>
  <c r="P62" i="1"/>
  <c r="P61" i="1"/>
  <c r="P95" i="1"/>
  <c r="P94" i="1"/>
  <c r="P26" i="1"/>
  <c r="P59" i="1"/>
  <c r="P60" i="1"/>
  <c r="P92" i="1"/>
  <c r="P93" i="1"/>
  <c r="P36" i="1"/>
  <c r="P91" i="1"/>
  <c r="P12" i="1"/>
  <c r="P13" i="1"/>
  <c r="P15" i="1"/>
  <c r="P16" i="1"/>
  <c r="P17" i="1"/>
  <c r="P18" i="1"/>
  <c r="P19" i="1"/>
  <c r="P20" i="1"/>
  <c r="P21" i="1"/>
  <c r="P22" i="1"/>
  <c r="P23" i="1"/>
  <c r="P24" i="1"/>
  <c r="P25" i="1"/>
  <c r="P34" i="1"/>
  <c r="P35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7" i="1"/>
  <c r="P98" i="1"/>
  <c r="P103" i="1"/>
  <c r="P106" i="1"/>
  <c r="P108" i="1"/>
  <c r="P110" i="1"/>
  <c r="P111" i="1"/>
  <c r="P112" i="1"/>
  <c r="P113" i="1"/>
  <c r="P128" i="1"/>
  <c r="U4" i="1"/>
</calcChain>
</file>

<file path=xl/sharedStrings.xml><?xml version="1.0" encoding="utf-8"?>
<sst xmlns="http://schemas.openxmlformats.org/spreadsheetml/2006/main" count="3130" uniqueCount="1328">
  <si>
    <t>Rótulos de Linha</t>
  </si>
  <si>
    <t>CALIBRADO</t>
  </si>
  <si>
    <t>DESCALIBRADO</t>
  </si>
  <si>
    <t>EM CALIBRAÇÃO</t>
  </si>
  <si>
    <t>EXCEÇÃO DE TMMDE</t>
  </si>
  <si>
    <t>NECESSÁRIO MANUTENÇÃO</t>
  </si>
  <si>
    <t>SUCATA</t>
  </si>
  <si>
    <t>Total Geral</t>
  </si>
  <si>
    <t>Contagem de TIPO</t>
  </si>
  <si>
    <t>Contagem de OBS.</t>
  </si>
  <si>
    <t>Manutenção</t>
  </si>
  <si>
    <t>SÉRGIO CARNEIRO</t>
  </si>
  <si>
    <t>RUAN ARTHUR</t>
  </si>
  <si>
    <t>AUGUSTO MONÇÃO</t>
  </si>
  <si>
    <t>MICAEL AGUIAR</t>
  </si>
  <si>
    <t>MURILIO SIAES</t>
  </si>
  <si>
    <t>PRODUÇÃO - KLEITON</t>
  </si>
  <si>
    <t>MARIVALDO JOSÉ</t>
  </si>
  <si>
    <t xml:space="preserve">INFRAESTRUTURA </t>
  </si>
  <si>
    <t>NATALICIO</t>
  </si>
  <si>
    <t>TAG</t>
  </si>
  <si>
    <t>TIPO</t>
  </si>
  <si>
    <t>DESCRIÇÃO</t>
  </si>
  <si>
    <t>FABRICANTE</t>
  </si>
  <si>
    <t>N° de Série</t>
  </si>
  <si>
    <t>RESOLUÇÃO</t>
  </si>
  <si>
    <t>RESPONSÁVEL</t>
  </si>
  <si>
    <t>OBS.</t>
  </si>
  <si>
    <t>LOCALIZAÇÃO</t>
  </si>
  <si>
    <t>TERMO DE RESPONSABILIDADE</t>
  </si>
  <si>
    <t>Nº CALIBRAÇÃO</t>
  </si>
  <si>
    <t>SITUAÇÃO</t>
  </si>
  <si>
    <t>VALIDADE DA CALIBRAÇÃO</t>
  </si>
  <si>
    <t>HOJE</t>
  </si>
  <si>
    <t>P-ALI-01</t>
  </si>
  <si>
    <t>Alicate Amperímetro</t>
  </si>
  <si>
    <t>Alicate Amperimetro VCC VCA ACA E OHM (200 mV a 1000V) (0 a 750 VCA) (0 a 1000 A) (200 a 20M Ohm)</t>
  </si>
  <si>
    <t>MINIPA</t>
  </si>
  <si>
    <t>2134/25</t>
  </si>
  <si>
    <t>LEGENDA</t>
  </si>
  <si>
    <t>P-BB-01</t>
  </si>
  <si>
    <t>Bobina</t>
  </si>
  <si>
    <t>BOBINA CC 13" RECTIFIED MAG COIL</t>
  </si>
  <si>
    <t>NEW TECH</t>
  </si>
  <si>
    <t>QUALIDADE</t>
  </si>
  <si>
    <t>SM</t>
  </si>
  <si>
    <t>ELT0050/26</t>
  </si>
  <si>
    <t>P-BPD-01</t>
  </si>
  <si>
    <t>Bloco Padrão</t>
  </si>
  <si>
    <t>Bloco padrão para Durômetro SHORE D</t>
  </si>
  <si>
    <t>n/a</t>
  </si>
  <si>
    <t>A-2/P-1</t>
  </si>
  <si>
    <t>P-BPD-02</t>
  </si>
  <si>
    <t>Bloco padrão para Durômetro SHORE A</t>
  </si>
  <si>
    <t>P-BPLP-01</t>
  </si>
  <si>
    <t>Bloco padrão para Líquido Penetrante</t>
  </si>
  <si>
    <t>Bloco Padrão para Líquido Penetrante</t>
  </si>
  <si>
    <t>Eishim</t>
  </si>
  <si>
    <t>A993</t>
  </si>
  <si>
    <t>A-4/P-1</t>
  </si>
  <si>
    <t xml:space="preserve">NÃO ENTREGUE </t>
  </si>
  <si>
    <t>P-BPM-01</t>
  </si>
  <si>
    <t>Bloco padrão Micrômetro (25 mm)</t>
  </si>
  <si>
    <t>A-2/G-2</t>
  </si>
  <si>
    <t>0119/26</t>
  </si>
  <si>
    <t>P-BPM-02</t>
  </si>
  <si>
    <t>Bloco padrão Micrômetro (50 mm)</t>
  </si>
  <si>
    <t>0120/26</t>
  </si>
  <si>
    <t>DANIFICADO</t>
  </si>
  <si>
    <t>P-BPM-03</t>
  </si>
  <si>
    <t>Bloco padrão Micrômetro (75 mm)</t>
  </si>
  <si>
    <t>0121/26</t>
  </si>
  <si>
    <t>VAGO</t>
  </si>
  <si>
    <t>P-BPM-04</t>
  </si>
  <si>
    <t>Bloco padrão Micrômetro (100mm)</t>
  </si>
  <si>
    <t>0122/26</t>
  </si>
  <si>
    <t>CALIBRAÇÃO NÃO NECESSÁRIA</t>
  </si>
  <si>
    <t>P-BPM-05</t>
  </si>
  <si>
    <t>Bloco padrão Micrômetro (125 mm)</t>
  </si>
  <si>
    <t>0123/26</t>
  </si>
  <si>
    <t>P-BPM-06</t>
  </si>
  <si>
    <t>Bloco padrão Micrômetro (175 mm)</t>
  </si>
  <si>
    <t>P-BPM-07</t>
  </si>
  <si>
    <t>Bloco padrão Micrômetro (200 mm)</t>
  </si>
  <si>
    <t>0126/26</t>
  </si>
  <si>
    <t>P-BPM-08</t>
  </si>
  <si>
    <t>Bloco padrão Micrômetro (225 mm)</t>
  </si>
  <si>
    <t>0127/26</t>
  </si>
  <si>
    <t>P-BPM-09</t>
  </si>
  <si>
    <t>P-BPM-10</t>
  </si>
  <si>
    <t>N/A</t>
  </si>
  <si>
    <t>P-BPM-11</t>
  </si>
  <si>
    <t>Bloco padrão Micrômetro (100 mm)</t>
  </si>
  <si>
    <t>P-BPM-12</t>
  </si>
  <si>
    <t>P-BPM-13</t>
  </si>
  <si>
    <t>P-BPM-14</t>
  </si>
  <si>
    <t>P-BPM-15</t>
  </si>
  <si>
    <t>Bloco padrão Micrômetro (150 mm)</t>
  </si>
  <si>
    <t>0124/26</t>
  </si>
  <si>
    <t>P-BPM-16</t>
  </si>
  <si>
    <t>Insize</t>
  </si>
  <si>
    <t>P-BPP-01</t>
  </si>
  <si>
    <t>Bloco padrão para paquímetro (1,21 mm)</t>
  </si>
  <si>
    <t>Mitutoyo</t>
  </si>
  <si>
    <t>A4-G4</t>
  </si>
  <si>
    <t>P-BPP-02</t>
  </si>
  <si>
    <t>Bloco padrão para paquímetro (0,56 mm)</t>
  </si>
  <si>
    <t>P-BPP-03</t>
  </si>
  <si>
    <t>090017</t>
  </si>
  <si>
    <t>P-BPP-04</t>
  </si>
  <si>
    <t>P-BPP-05</t>
  </si>
  <si>
    <t>P-BPP-06</t>
  </si>
  <si>
    <t>P-BPS-01</t>
  </si>
  <si>
    <t>Jogo de bloco Shore A</t>
  </si>
  <si>
    <t>Jogo de bloco padrão</t>
  </si>
  <si>
    <t>MEDTEC</t>
  </si>
  <si>
    <t>P-BPS-02</t>
  </si>
  <si>
    <t>Jogo de bloco Shore D</t>
  </si>
  <si>
    <t>A-2/P-2</t>
  </si>
  <si>
    <t>P-CCR-01</t>
  </si>
  <si>
    <t>CALIBRADOR PARA CANAL RTJ</t>
  </si>
  <si>
    <t>P-CHL-01</t>
  </si>
  <si>
    <t>Calibre de Solda</t>
  </si>
  <si>
    <t>Calibre de Solda CG HI-LO</t>
  </si>
  <si>
    <t>CARBOGRAFITE</t>
  </si>
  <si>
    <t>CE-CG 298</t>
  </si>
  <si>
    <t>CONE MEDIDOR DE ORING</t>
  </si>
  <si>
    <t>PARKER</t>
  </si>
  <si>
    <t>NA</t>
  </si>
  <si>
    <t>-</t>
  </si>
  <si>
    <t>P-CRC-01</t>
  </si>
  <si>
    <t>Calibrador Rosca Caixa</t>
  </si>
  <si>
    <t xml:space="preserve"> 5 1/2" BTC</t>
  </si>
  <si>
    <t>R-27882</t>
  </si>
  <si>
    <t>Alugado</t>
  </si>
  <si>
    <t>P-CRC-02</t>
  </si>
  <si>
    <t>3.1/2" IF</t>
  </si>
  <si>
    <t>SANCHES BLANE</t>
  </si>
  <si>
    <t>A-1/P-3</t>
  </si>
  <si>
    <t>P-CRC-03</t>
  </si>
  <si>
    <t>2.7/8" IF</t>
  </si>
  <si>
    <t>P-CRC-04</t>
  </si>
  <si>
    <t xml:space="preserve"> 4.1/2" NU - 8 THD . 3/4 TPF</t>
  </si>
  <si>
    <t>LONE STAR</t>
  </si>
  <si>
    <t>#1591</t>
  </si>
  <si>
    <t>A-1/P-1</t>
  </si>
  <si>
    <t xml:space="preserve">  </t>
  </si>
  <si>
    <t>P-CRC-05</t>
  </si>
  <si>
    <t>3.1/2"EU (UPTBG)</t>
  </si>
  <si>
    <t>HEMCO</t>
  </si>
  <si>
    <t>86985/2#1</t>
  </si>
  <si>
    <t>A-2/P-3</t>
  </si>
  <si>
    <t>P-CRC-06</t>
  </si>
  <si>
    <t xml:space="preserve"> 2.7/8" EU (UPTBG)</t>
  </si>
  <si>
    <t>76866/1#2</t>
  </si>
  <si>
    <t>P-CRC-07</t>
  </si>
  <si>
    <t xml:space="preserve"> 2.3/8" EU</t>
  </si>
  <si>
    <t>76862/1#1</t>
  </si>
  <si>
    <t>P-CRC-08</t>
  </si>
  <si>
    <t>6.5/8" REG</t>
  </si>
  <si>
    <t>A-1/P-2</t>
  </si>
  <si>
    <t>P-CRC-09</t>
  </si>
  <si>
    <t>7 5/8" REG</t>
  </si>
  <si>
    <t>05B16005</t>
  </si>
  <si>
    <t>P-CRC-10</t>
  </si>
  <si>
    <t xml:space="preserve"> 2.7/8" NU (TBG) </t>
  </si>
  <si>
    <t>76871/1#2</t>
  </si>
  <si>
    <t>P-CRC-11</t>
  </si>
  <si>
    <t xml:space="preserve"> 3.1/2" NU (TBG)</t>
  </si>
  <si>
    <t>76876/1#2</t>
  </si>
  <si>
    <t>P-CRC-12</t>
  </si>
  <si>
    <t xml:space="preserve"> 2.3/8" IF 4THD.2"TPF</t>
  </si>
  <si>
    <t>SER-2050</t>
  </si>
  <si>
    <t>P-CRC-13</t>
  </si>
  <si>
    <t xml:space="preserve"> 2.7/8" IF 4TPI </t>
  </si>
  <si>
    <t>P-CRC-14</t>
  </si>
  <si>
    <t xml:space="preserve"> 4" IF </t>
  </si>
  <si>
    <t>P-CRC-15</t>
  </si>
  <si>
    <t>3.1/2" REG 5THD3"TPF</t>
  </si>
  <si>
    <t>SER-1917</t>
  </si>
  <si>
    <t>P-CRC-16</t>
  </si>
  <si>
    <t>P-CRC-17</t>
  </si>
  <si>
    <t xml:space="preserve">4.1/2" REG </t>
  </si>
  <si>
    <t>SER.1740</t>
  </si>
  <si>
    <t>P-CRC-18</t>
  </si>
  <si>
    <t xml:space="preserve">4 1/2" EU (UPTBG) </t>
  </si>
  <si>
    <t>6838/1#2</t>
  </si>
  <si>
    <t>P-CRC-19</t>
  </si>
  <si>
    <t>5.1/2" BTC (BUTTRESS)</t>
  </si>
  <si>
    <t>ALLEN-KURODA</t>
  </si>
  <si>
    <t>HCB109</t>
  </si>
  <si>
    <t>A-1/P-4</t>
  </si>
  <si>
    <t>P-CRC-20</t>
  </si>
  <si>
    <t xml:space="preserve">2.3/8" NU </t>
  </si>
  <si>
    <t>R-35837/GB18185</t>
  </si>
  <si>
    <t>P-CRC-21</t>
  </si>
  <si>
    <t>4.1/2" IF - 4FPP</t>
  </si>
  <si>
    <t>P-CRC-22</t>
  </si>
  <si>
    <t>1/4" NPT</t>
  </si>
  <si>
    <t>KINGTOOLS</t>
  </si>
  <si>
    <t>P-CRC-23</t>
  </si>
  <si>
    <t>1/8" NPT</t>
  </si>
  <si>
    <t>P-CRC-24</t>
  </si>
  <si>
    <t>6 5/8" REG</t>
  </si>
  <si>
    <t>05B14015</t>
  </si>
  <si>
    <t>P-CRC-25</t>
  </si>
  <si>
    <t>13 3/8" BTC</t>
  </si>
  <si>
    <t>R-25164</t>
  </si>
  <si>
    <t>P-CRP-01</t>
  </si>
  <si>
    <t>Calibrador de Rosca Pino</t>
  </si>
  <si>
    <t xml:space="preserve"> 2" LP - 11,5 FPP</t>
  </si>
  <si>
    <t>NEOMATIC</t>
  </si>
  <si>
    <t>P-CRP-02</t>
  </si>
  <si>
    <t>P-CRP-03</t>
  </si>
  <si>
    <t xml:space="preserve"> 3" LP - 8 FPP</t>
  </si>
  <si>
    <t>P-CRP-04</t>
  </si>
  <si>
    <t>P-CRP-05</t>
  </si>
  <si>
    <t xml:space="preserve"> 4" LP - 8 FPP</t>
  </si>
  <si>
    <t>S100/01</t>
  </si>
  <si>
    <t>P-CRP-06</t>
  </si>
  <si>
    <t xml:space="preserve"> 4.1/2" EU / UPTBG</t>
  </si>
  <si>
    <t>76879/181#</t>
  </si>
  <si>
    <t>P-CRP-07</t>
  </si>
  <si>
    <t xml:space="preserve"> 2.7/8" EU - UPTBG </t>
  </si>
  <si>
    <t>76868/1#2</t>
  </si>
  <si>
    <t>P-CRP-08</t>
  </si>
  <si>
    <t>2.3/8" EU</t>
  </si>
  <si>
    <t>76880/1#1</t>
  </si>
  <si>
    <t>P-CRP-09</t>
  </si>
  <si>
    <t xml:space="preserve"> PASSA/NÃO PASSA 1.5/8" UN 2B - 12 FPP</t>
  </si>
  <si>
    <t>P-CRP-10</t>
  </si>
  <si>
    <t xml:space="preserve"> 6.5/8" REG - 4 THD E 2" TPF</t>
  </si>
  <si>
    <t>SER. # 1939</t>
  </si>
  <si>
    <t>P-CRP-11</t>
  </si>
  <si>
    <t xml:space="preserve"> 4.1/2" REG - 5 THD E 3TPF</t>
  </si>
  <si>
    <t>SER.1753</t>
  </si>
  <si>
    <t>P-CRP-12</t>
  </si>
  <si>
    <t xml:space="preserve"> 3.1/2" IF</t>
  </si>
  <si>
    <t>P-CRP-13</t>
  </si>
  <si>
    <t xml:space="preserve"> 2.7/8" IF</t>
  </si>
  <si>
    <t>P-CRP-14</t>
  </si>
  <si>
    <t xml:space="preserve"> 4.1/2" IF</t>
  </si>
  <si>
    <t>ALAMEDA</t>
  </si>
  <si>
    <t>P-CRP-15</t>
  </si>
  <si>
    <t xml:space="preserve"> PASSA/NÃO PASSA 1/2"  14 NPT</t>
  </si>
  <si>
    <t>P-CRP-16</t>
  </si>
  <si>
    <t xml:space="preserve"> PASSA/NÃO PASSA 1.1/4" - 12 UNF - 2B</t>
  </si>
  <si>
    <t>CALIBRATOOLS</t>
  </si>
  <si>
    <t>WB660</t>
  </si>
  <si>
    <t>P-CRP-17</t>
  </si>
  <si>
    <t xml:space="preserve"> 5-1/2"  BTC (BUTTRESS)</t>
  </si>
  <si>
    <t>P-CRP-18</t>
  </si>
  <si>
    <t>76872/1#2</t>
  </si>
  <si>
    <t>P-CRP-19</t>
  </si>
  <si>
    <t xml:space="preserve"> 3.1/2" NU (TBG)'</t>
  </si>
  <si>
    <t>76877/1#1</t>
  </si>
  <si>
    <t>P-CRP-20</t>
  </si>
  <si>
    <t xml:space="preserve"> 3.1/2" EU UPTBG</t>
  </si>
  <si>
    <t>76875/1#1</t>
  </si>
  <si>
    <t>P-CRP-21</t>
  </si>
  <si>
    <t>2.3/8" NU (TBG)</t>
  </si>
  <si>
    <t>PMC INDUSTRIES</t>
  </si>
  <si>
    <t>R-35833/GB-18175</t>
  </si>
  <si>
    <t>P-CRP-22</t>
  </si>
  <si>
    <t>2.7/8" REG  5THD.3"TPF</t>
  </si>
  <si>
    <t>SER.1906</t>
  </si>
  <si>
    <t>P-CRP-23</t>
  </si>
  <si>
    <t>SER-2024</t>
  </si>
  <si>
    <t>P-CRP-24</t>
  </si>
  <si>
    <t xml:space="preserve"> 2.7/8" IF 4TPI</t>
  </si>
  <si>
    <t>P-CRP-25</t>
  </si>
  <si>
    <t>4" IF</t>
  </si>
  <si>
    <t>P-CRP-26</t>
  </si>
  <si>
    <t xml:space="preserve"> 3.1/2" REG </t>
  </si>
  <si>
    <t>SER-1680</t>
  </si>
  <si>
    <t>P-CRP-27</t>
  </si>
  <si>
    <t xml:space="preserve"> 9.5/8" BTC (BUTTRESS)</t>
  </si>
  <si>
    <t>HOMCO</t>
  </si>
  <si>
    <t>A-1/P-5</t>
  </si>
  <si>
    <t>P-CRP-28</t>
  </si>
  <si>
    <t xml:space="preserve"> 4.1/2" IF - 4FPP</t>
  </si>
  <si>
    <t>RAI 003-25</t>
  </si>
  <si>
    <t>P-CRP-29</t>
  </si>
  <si>
    <t>7.5/8" REG</t>
  </si>
  <si>
    <t>P-CRP-30</t>
  </si>
  <si>
    <t>1/4" -18 NPT</t>
  </si>
  <si>
    <t>P-CRP-31</t>
  </si>
  <si>
    <t>1/8 -27 NPT</t>
  </si>
  <si>
    <t>P-CRP-32</t>
  </si>
  <si>
    <t>1" NPT</t>
  </si>
  <si>
    <t>P-CRP-33</t>
  </si>
  <si>
    <t>6 5/8 REG</t>
  </si>
  <si>
    <t>P-CTE-01</t>
  </si>
  <si>
    <t>Câmera Termográfica</t>
  </si>
  <si>
    <t>A-5/P-1</t>
  </si>
  <si>
    <t>P-DUR-01</t>
  </si>
  <si>
    <t>Durômetro</t>
  </si>
  <si>
    <t>Durômetro Shore "D" DIGITAL para elastomero</t>
  </si>
  <si>
    <t>HT-6510</t>
  </si>
  <si>
    <t>P-DUR-02</t>
  </si>
  <si>
    <t>Durômetro Shore A Analogico para elastomero</t>
  </si>
  <si>
    <t>KORI SEIKE MFG. CO. LTD</t>
  </si>
  <si>
    <t>1 ShA</t>
  </si>
  <si>
    <t>P-DUR-03</t>
  </si>
  <si>
    <t>Durômetro digital portátil  (HV, HB, HRC,HS,HRB, HL)</t>
  </si>
  <si>
    <t>Metro Tokyo</t>
  </si>
  <si>
    <t>00005601 2012</t>
  </si>
  <si>
    <t>2E2B124</t>
  </si>
  <si>
    <t>P-DUR-04</t>
  </si>
  <si>
    <t>67EW3724</t>
  </si>
  <si>
    <t>P-DUR-05</t>
  </si>
  <si>
    <t>Durômetro de Bancada para  Rockwell B e C</t>
  </si>
  <si>
    <t>BF000101</t>
  </si>
  <si>
    <t>STANDBY</t>
  </si>
  <si>
    <t>3223/2025</t>
  </si>
  <si>
    <t>P-DUR-06</t>
  </si>
  <si>
    <t>1261-2605</t>
  </si>
  <si>
    <t>P-EC-02</t>
  </si>
  <si>
    <t>Esquadro combinado</t>
  </si>
  <si>
    <t>P-JBP-01</t>
  </si>
  <si>
    <t>Jogo de Bloco Padrão</t>
  </si>
  <si>
    <t>Jogo de Bloc Padrão com 85 peças (bloco padrão mínimo 1,002 mm e máxima 100 mm)</t>
  </si>
  <si>
    <t>Kuroda</t>
  </si>
  <si>
    <t>0486</t>
  </si>
  <si>
    <t>P-LUX-01</t>
  </si>
  <si>
    <t>Luxímetro</t>
  </si>
  <si>
    <t xml:space="preserve">Luximetro 1-2000 LUX </t>
  </si>
  <si>
    <t xml:space="preserve">SMART SENSOR </t>
  </si>
  <si>
    <t>AS803</t>
  </si>
  <si>
    <t>2021/25</t>
  </si>
  <si>
    <t>P-MAF-03</t>
  </si>
  <si>
    <t>Medidor  Altura de Filete</t>
  </si>
  <si>
    <t>Medidor de altura de filete rosca Interior</t>
  </si>
  <si>
    <t>Pittsburgh</t>
  </si>
  <si>
    <t>A-5/G-1</t>
  </si>
  <si>
    <t>1Q0F4T25</t>
  </si>
  <si>
    <t>P-MAF-04</t>
  </si>
  <si>
    <t>A-5/G-6</t>
  </si>
  <si>
    <t>P-MAF-06</t>
  </si>
  <si>
    <t>A-2/G-5</t>
  </si>
  <si>
    <t>P-MAF-07</t>
  </si>
  <si>
    <t>Medidor  Altura de Filete Externo</t>
  </si>
  <si>
    <t>Medidor de altura de filete rosca Externo</t>
  </si>
  <si>
    <t>Adibak</t>
  </si>
  <si>
    <t>LWG156</t>
  </si>
  <si>
    <t>0.0005"</t>
  </si>
  <si>
    <t>P-MAF-08</t>
  </si>
  <si>
    <t>SXHWX024 / SRI62024</t>
  </si>
  <si>
    <t>P-MAF-09</t>
  </si>
  <si>
    <t>SHQ722</t>
  </si>
  <si>
    <t>P-MAG-01</t>
  </si>
  <si>
    <t xml:space="preserve">GONIÔMETRO </t>
  </si>
  <si>
    <t>Goniômetro (Transferidor de grau) 0 A 180°</t>
  </si>
  <si>
    <t>IN7800</t>
  </si>
  <si>
    <t>A-3/G-5</t>
  </si>
  <si>
    <t>2135/25</t>
  </si>
  <si>
    <t>P-MAG-02</t>
  </si>
  <si>
    <t>Goniômetro 0 A 90°</t>
  </si>
  <si>
    <t>DIGIMESS</t>
  </si>
  <si>
    <t>B185034</t>
  </si>
  <si>
    <t>1011/25</t>
  </si>
  <si>
    <t>P-MAN-01</t>
  </si>
  <si>
    <t>Manômetro</t>
  </si>
  <si>
    <t>Manômetro 0 - 17 bar (250 psi) CLASSE A</t>
  </si>
  <si>
    <t>TUROTEST</t>
  </si>
  <si>
    <t>ACC 001-25 reprovado</t>
  </si>
  <si>
    <t>016-25</t>
  </si>
  <si>
    <t>08-P250516</t>
  </si>
  <si>
    <t>P-MAN-02</t>
  </si>
  <si>
    <t>Manômetro 0 - 14 kgf/cm² (199,127 psi) CLASSE A</t>
  </si>
  <si>
    <t>ACC 002-25 reprovado</t>
  </si>
  <si>
    <t>017-25</t>
  </si>
  <si>
    <t>08-P250517</t>
  </si>
  <si>
    <t>P-MAN-03</t>
  </si>
  <si>
    <t>Manômetro 0 - 500 PSI CLASSE A</t>
  </si>
  <si>
    <t>FAMABRAS</t>
  </si>
  <si>
    <t>018-25</t>
  </si>
  <si>
    <t>08-P250518</t>
  </si>
  <si>
    <t>P-MAN-04</t>
  </si>
  <si>
    <t>Manômetro 0-1500 PSI rosca pino 1/4" NPT</t>
  </si>
  <si>
    <t>A-3/P-2</t>
  </si>
  <si>
    <t>P-MAN-05</t>
  </si>
  <si>
    <t>Manômetro 0 - 6000 lbf/pol²</t>
  </si>
  <si>
    <t>WTS</t>
  </si>
  <si>
    <t>Não encontrado</t>
  </si>
  <si>
    <t>1984/24</t>
  </si>
  <si>
    <t>P-MAN-06</t>
  </si>
  <si>
    <t>Manômetro 0-200 PSI 1/4" NPT Rosca horizontal classe B</t>
  </si>
  <si>
    <t>00191/26</t>
  </si>
  <si>
    <t>P-MAN-07</t>
  </si>
  <si>
    <t>Manometo 3000 PSI 1/4" NPT Pino rosca horizontal</t>
  </si>
  <si>
    <t>ASCHCROFT</t>
  </si>
  <si>
    <t>50 PSI</t>
  </si>
  <si>
    <t>P-MAN-08</t>
  </si>
  <si>
    <t>Manômetro 0-30000 PSI</t>
  </si>
  <si>
    <t>WARING</t>
  </si>
  <si>
    <t>15903274/2</t>
  </si>
  <si>
    <t>500 PSI</t>
  </si>
  <si>
    <t>0508/2026</t>
  </si>
  <si>
    <t>P-MAN-09</t>
  </si>
  <si>
    <t xml:space="preserve">Manômetro 0 - 6000 PSI rosca pino horizontal 1/4" NPT Classe A </t>
  </si>
  <si>
    <t>ASHCROFT</t>
  </si>
  <si>
    <t>CI:7308674</t>
  </si>
  <si>
    <t>P-MAN-10</t>
  </si>
  <si>
    <t>Manômetro 0 - 6000 PSI rosca pino horizontal 1/4" NPT Classe A horizontal</t>
  </si>
  <si>
    <t>P-MAN-11</t>
  </si>
  <si>
    <t>Manômetro 0 - 5000 PSI Rosca pino horizontal 1/4" NPT Classe A1</t>
  </si>
  <si>
    <t>CI:9598719</t>
  </si>
  <si>
    <t>P-MAN-12</t>
  </si>
  <si>
    <t>Manômetro 0 - 3000 PSI Classe A1 rosca pino horizontal 1/4" NPT</t>
  </si>
  <si>
    <t>WIKA</t>
  </si>
  <si>
    <t>2R01108</t>
  </si>
  <si>
    <t>00188/26</t>
  </si>
  <si>
    <t>P-MAN-13</t>
  </si>
  <si>
    <t>Manômetro 0 - 6000 psi Classe A</t>
  </si>
  <si>
    <t>PRODUÇÃO</t>
  </si>
  <si>
    <t>ACC 004-25</t>
  </si>
  <si>
    <t>1701/25</t>
  </si>
  <si>
    <t>P-MAN-14</t>
  </si>
  <si>
    <t xml:space="preserve">Manômetro 0 - 6000 psi Classe A rosca pino horizontal 1/4" NPT </t>
  </si>
  <si>
    <t>4033-3100</t>
  </si>
  <si>
    <t>P-MAN-15</t>
  </si>
  <si>
    <t>Manômetro 0 - 10000 psi</t>
  </si>
  <si>
    <t>WIKA - 233.50.100L</t>
  </si>
  <si>
    <t>8200EZN9</t>
  </si>
  <si>
    <t>LMP424453/24</t>
  </si>
  <si>
    <t>P-MAN-16</t>
  </si>
  <si>
    <t>Manômetro 0 - 10000 psi rosca PINO vertical 1/2" NPT Classe A1</t>
  </si>
  <si>
    <t>8200EZN8</t>
  </si>
  <si>
    <t>100 PSI</t>
  </si>
  <si>
    <t>P-MAN-17</t>
  </si>
  <si>
    <t xml:space="preserve">Manômetro 22000 psi </t>
  </si>
  <si>
    <t>A-4/G-6</t>
  </si>
  <si>
    <t>P-MAN-18</t>
  </si>
  <si>
    <t>Manômetro 140 psi</t>
  </si>
  <si>
    <t>P-MAN-19</t>
  </si>
  <si>
    <t>Manômetro 230 psi</t>
  </si>
  <si>
    <t>P-MAN-20</t>
  </si>
  <si>
    <t>Manômetro 0-200 PSI classe A rosca pino 1/4" NPT</t>
  </si>
  <si>
    <t>347674-2</t>
  </si>
  <si>
    <t>2,5 PSI</t>
  </si>
  <si>
    <t>00192/26</t>
  </si>
  <si>
    <t>P-MAN-21</t>
  </si>
  <si>
    <t>Manômetro 0 - 10000 psi Classe B rosca pino 1/2" NPT</t>
  </si>
  <si>
    <t>019-25</t>
  </si>
  <si>
    <t>2136/25</t>
  </si>
  <si>
    <t>P-MAN-22</t>
  </si>
  <si>
    <t>Manômetro 0-3000 PSI CLASSE A1 rosca pino 1/4" NPT</t>
  </si>
  <si>
    <t xml:space="preserve">820009LJ </t>
  </si>
  <si>
    <t>50 psi</t>
  </si>
  <si>
    <t>SAIU NO PV 318</t>
  </si>
  <si>
    <t>1703/25</t>
  </si>
  <si>
    <t>P-MAN-23</t>
  </si>
  <si>
    <t>Manômetro 0-20000 psi</t>
  </si>
  <si>
    <t>0509/2026</t>
  </si>
  <si>
    <t>P-MAN-24</t>
  </si>
  <si>
    <t>Manômetro 0-3000 PSI CLASSE A1</t>
  </si>
  <si>
    <t>820009LF</t>
  </si>
  <si>
    <t>A-3/P-3</t>
  </si>
  <si>
    <t>P-MAN-25</t>
  </si>
  <si>
    <t>Manômetro 5000 PSI Rosca pino 1/4" NPT Classe A1</t>
  </si>
  <si>
    <t>P-MAN-26</t>
  </si>
  <si>
    <t>Manômetro 0-5000 PSI rosca pino vertical 1/2" NPT Classe A1</t>
  </si>
  <si>
    <t>2R03DXY</t>
  </si>
  <si>
    <t>P-MAN-27</t>
  </si>
  <si>
    <t>820009LI</t>
  </si>
  <si>
    <t>P-MAN-28</t>
  </si>
  <si>
    <t>Manômetro 0 - 1500 PSI rosca pino horizontal 1/4" NPT</t>
  </si>
  <si>
    <t>MC DANIEL</t>
  </si>
  <si>
    <t>CALIBRADOR DE NITROGENIO N 1</t>
  </si>
  <si>
    <t>P-MAN-29</t>
  </si>
  <si>
    <t>Manômetro 0 - 3000 PSI rosca pino horizontal 1/4" NPT CLASSE A</t>
  </si>
  <si>
    <t>P-MAN-30</t>
  </si>
  <si>
    <t>125 PSI</t>
  </si>
  <si>
    <t>5053/26</t>
  </si>
  <si>
    <t>P-MCE-06</t>
  </si>
  <si>
    <t>Medidor de Conicidade Rosca Externa</t>
  </si>
  <si>
    <t>Medidor de conicidadedas Roscas externa com relógio Comparador</t>
  </si>
  <si>
    <t>ADIBAK</t>
  </si>
  <si>
    <t>0001351/1</t>
  </si>
  <si>
    <t>0,0005"</t>
  </si>
  <si>
    <t>A-5/G-4</t>
  </si>
  <si>
    <t>3D0XS525</t>
  </si>
  <si>
    <t>P-MCI-05</t>
  </si>
  <si>
    <t>Medidor de Conicidade Rosca Interna</t>
  </si>
  <si>
    <t>Medidor de conicidadedas Roscas Interna com relógio Comparador</t>
  </si>
  <si>
    <t>0001352/1</t>
  </si>
  <si>
    <t>SP6C8D25 / JJ189J25</t>
  </si>
  <si>
    <t>P-MCP-01</t>
  </si>
  <si>
    <t>Micrômetro de Profundiade</t>
  </si>
  <si>
    <t>Micrômetro Para medir profundidade</t>
  </si>
  <si>
    <t>MITUTOYO</t>
  </si>
  <si>
    <t>0,01mm</t>
  </si>
  <si>
    <t>A-2/G-3</t>
  </si>
  <si>
    <t>P-MDC-01</t>
  </si>
  <si>
    <t>Medidor de Diâmetro Crista</t>
  </si>
  <si>
    <t>Medidor de Diâmetro Crista e selo-corpo Interno / Externo</t>
  </si>
  <si>
    <t>SOLESA</t>
  </si>
  <si>
    <t>06-016</t>
  </si>
  <si>
    <t>P-MDC-02</t>
  </si>
  <si>
    <t>0701.22</t>
  </si>
  <si>
    <t>P-MDC-03</t>
  </si>
  <si>
    <t>P-MDC-04</t>
  </si>
  <si>
    <t>A-5/ G-6</t>
  </si>
  <si>
    <t>P-MDC-05</t>
  </si>
  <si>
    <t>A-5/G-2</t>
  </si>
  <si>
    <t>P-MDC-06</t>
  </si>
  <si>
    <t>P-MDC-07</t>
  </si>
  <si>
    <t>GAGEMAKER</t>
  </si>
  <si>
    <t>82.020.15.00.26.00</t>
  </si>
  <si>
    <t>P-MDG-01</t>
  </si>
  <si>
    <t>Medidor do diâmetro do canal</t>
  </si>
  <si>
    <t>Medidor de Diâmetro Do Groove por API 6A BX-1000</t>
  </si>
  <si>
    <t>Gagemaker</t>
  </si>
  <si>
    <t>S/N</t>
  </si>
  <si>
    <t>A-2/G-4</t>
  </si>
  <si>
    <t>P-MDG-02</t>
  </si>
  <si>
    <t>0243/26</t>
  </si>
  <si>
    <t>P-MDM-01</t>
  </si>
  <si>
    <t>MESA DE DESEMPENO</t>
  </si>
  <si>
    <t>STARRET</t>
  </si>
  <si>
    <t>P-ME-01</t>
  </si>
  <si>
    <t>Medidor de espessura</t>
  </si>
  <si>
    <t>Medidor de Espessura por ultrassom digital</t>
  </si>
  <si>
    <t>INSTRUTHERM</t>
  </si>
  <si>
    <t>N280015</t>
  </si>
  <si>
    <t>A-5/P-2</t>
  </si>
  <si>
    <t>RRRRRRRRRRRRRRRRRR</t>
  </si>
  <si>
    <t>P-ME-02</t>
  </si>
  <si>
    <t>PosiTector Medidor de espessura de Material Não magnetico   6000</t>
  </si>
  <si>
    <t>Defelsko</t>
  </si>
  <si>
    <t>P-ME-03</t>
  </si>
  <si>
    <t xml:space="preserve">Olympus </t>
  </si>
  <si>
    <t>0301/26</t>
  </si>
  <si>
    <t>P-ME-04</t>
  </si>
  <si>
    <t>Panametrics-ndt mg2-dl (por ultrassom)</t>
  </si>
  <si>
    <t>A-4/P-2</t>
  </si>
  <si>
    <t>P-MI-01</t>
  </si>
  <si>
    <t>Micrômetro Externo</t>
  </si>
  <si>
    <t xml:space="preserve">Micrômetro 25 - 50 mm </t>
  </si>
  <si>
    <t>0.01 mm</t>
  </si>
  <si>
    <t>P-MI-02</t>
  </si>
  <si>
    <t xml:space="preserve">Micrômetro 50 - 75 mm </t>
  </si>
  <si>
    <t>P-MI-03</t>
  </si>
  <si>
    <t xml:space="preserve">Micrômetro 75 - 100 mm </t>
  </si>
  <si>
    <t>CAV 0610/22</t>
  </si>
  <si>
    <t>P-MI-04</t>
  </si>
  <si>
    <t xml:space="preserve">Micrômetro 100 - 125 mm </t>
  </si>
  <si>
    <t>P-MI-05</t>
  </si>
  <si>
    <t>Micrômetro 125 - 150 mm</t>
  </si>
  <si>
    <t>P-MI-06</t>
  </si>
  <si>
    <t>Micrômetro 150 - 175 mm</t>
  </si>
  <si>
    <t>P-MI-07</t>
  </si>
  <si>
    <t xml:space="preserve">Micrômetro 175 - 200 mm </t>
  </si>
  <si>
    <t>A-5/G-5</t>
  </si>
  <si>
    <t>1339/23</t>
  </si>
  <si>
    <t>P-MI-08</t>
  </si>
  <si>
    <t>Micrômetro 250 - 275 mm</t>
  </si>
  <si>
    <t>SHAN</t>
  </si>
  <si>
    <t>J 00499</t>
  </si>
  <si>
    <t>P-MI-09</t>
  </si>
  <si>
    <t>Micrômetro 275 - 300 mm x 0,01</t>
  </si>
  <si>
    <t>P-MI-10</t>
  </si>
  <si>
    <t>Micrômetro 225 - 250 mm x 0,01</t>
  </si>
  <si>
    <t>A-2/G-1</t>
  </si>
  <si>
    <t>P-MI-11</t>
  </si>
  <si>
    <t>Micrômetro 200 - 225 mm x 0,01</t>
  </si>
  <si>
    <t>KING TOOLS</t>
  </si>
  <si>
    <t>P-MI-12</t>
  </si>
  <si>
    <t>Micrômetro 175-200 mm</t>
  </si>
  <si>
    <t>0,01 mm</t>
  </si>
  <si>
    <t>P-MI-13</t>
  </si>
  <si>
    <t>Micrômetro 0-25 mm</t>
  </si>
  <si>
    <t>P-MI-18</t>
  </si>
  <si>
    <t>0 - 150 mm  (Intercambiável)</t>
  </si>
  <si>
    <t>104-135</t>
  </si>
  <si>
    <t>P-MII-01</t>
  </si>
  <si>
    <t>Micrômetro Interno</t>
  </si>
  <si>
    <t>Micrometro Interno de 50-600 mm 0.01 mm</t>
  </si>
  <si>
    <t>P-MII-02</t>
  </si>
  <si>
    <t>Micrometro Interno de 200-2000 mm 0.0            01 mm</t>
  </si>
  <si>
    <t>P-MLUV-01</t>
  </si>
  <si>
    <t>Radiômetro</t>
  </si>
  <si>
    <t>Radiômetro, medidor de luz ultra violeta (luz negra)</t>
  </si>
  <si>
    <t>CEL-MAN</t>
  </si>
  <si>
    <t>ST-513</t>
  </si>
  <si>
    <t>P-MP-01</t>
  </si>
  <si>
    <t>Medidor de Profundidade</t>
  </si>
  <si>
    <t xml:space="preserve">Medidor de Profundidade 10 voltas </t>
  </si>
  <si>
    <t>0001726</t>
  </si>
  <si>
    <t>A-4/G-2</t>
  </si>
  <si>
    <t>P-MPH-01</t>
  </si>
  <si>
    <t>Mdidor de pH</t>
  </si>
  <si>
    <t>Instrumento para medir pH (medidor de pH)</t>
  </si>
  <si>
    <t>AKSO</t>
  </si>
  <si>
    <t>AKCQ0620S</t>
  </si>
  <si>
    <t>A-4/P-3</t>
  </si>
  <si>
    <t>P-MPR-04</t>
  </si>
  <si>
    <t>Medidor de Passo da Rosca</t>
  </si>
  <si>
    <t>Medidor de passo da Rosca com divisão de 5/16 "</t>
  </si>
  <si>
    <t>M80-0403</t>
  </si>
  <si>
    <t>P-MRA-01</t>
  </si>
  <si>
    <t xml:space="preserve">Medidor de Interno com Relógio Analógico  </t>
  </si>
  <si>
    <t>55 - 153 mm</t>
  </si>
  <si>
    <t>2B03804</t>
  </si>
  <si>
    <t>P-MRA-02</t>
  </si>
  <si>
    <t xml:space="preserve">15 - 35 mm </t>
  </si>
  <si>
    <t>A310321</t>
  </si>
  <si>
    <t>15 - 35 mm</t>
  </si>
  <si>
    <t>A-3/G-1</t>
  </si>
  <si>
    <t>P-MUT-01</t>
  </si>
  <si>
    <t>Multimetro</t>
  </si>
  <si>
    <t xml:space="preserve">Multímetro Digital 1000/1000V (AC/DC) </t>
  </si>
  <si>
    <t xml:space="preserve">FLUKE </t>
  </si>
  <si>
    <t>R3:22020943</t>
  </si>
  <si>
    <t>P-PAQ-01</t>
  </si>
  <si>
    <t xml:space="preserve">Paquímetro analogico </t>
  </si>
  <si>
    <t xml:space="preserve">Analogico 8" - 200 mm </t>
  </si>
  <si>
    <t>0,001"/0,02mm</t>
  </si>
  <si>
    <t>001-25</t>
  </si>
  <si>
    <t>P-PAQ-02</t>
  </si>
  <si>
    <t xml:space="preserve">Paquímetro Digital </t>
  </si>
  <si>
    <t>Digital - 300 mm - IP54</t>
  </si>
  <si>
    <t>A-4/G-1</t>
  </si>
  <si>
    <t>1919/25</t>
  </si>
  <si>
    <t>P-PAQ-03</t>
  </si>
  <si>
    <t>Analógico - 20" / 500 mm</t>
  </si>
  <si>
    <t>P-PAQ-04</t>
  </si>
  <si>
    <t>Analógico - 24" / 600 mm</t>
  </si>
  <si>
    <t>G00698</t>
  </si>
  <si>
    <t>1/128" / 0,05mm</t>
  </si>
  <si>
    <t>3855/2025</t>
  </si>
  <si>
    <t>P-PAQ-05</t>
  </si>
  <si>
    <t>Analógico - 8" / 200 mm</t>
  </si>
  <si>
    <t>P-PAQ-06</t>
  </si>
  <si>
    <t>Analógico - 12" / 300 mm</t>
  </si>
  <si>
    <t>Antoniel Martins</t>
  </si>
  <si>
    <t>003-25</t>
  </si>
  <si>
    <t>P-PAQ-08</t>
  </si>
  <si>
    <t xml:space="preserve">Paquímetro digital </t>
  </si>
  <si>
    <t>Digital - 12" / 300 mm</t>
  </si>
  <si>
    <t>0125/26</t>
  </si>
  <si>
    <t>P-PAQ-09</t>
  </si>
  <si>
    <t>P-PAQ-10</t>
  </si>
  <si>
    <t>Analógico - 6" / 150 mm</t>
  </si>
  <si>
    <t>DANIEL JUSTINIANO</t>
  </si>
  <si>
    <t>004-25</t>
  </si>
  <si>
    <t>P-PAQ-11</t>
  </si>
  <si>
    <t>P-PAQ-12</t>
  </si>
  <si>
    <t>0,02 mm</t>
  </si>
  <si>
    <t>3832/2025</t>
  </si>
  <si>
    <t>P-PAQ-13</t>
  </si>
  <si>
    <t xml:space="preserve">Paquímetro de Profundidade </t>
  </si>
  <si>
    <t>Analógico de profundidade - 150  mm</t>
  </si>
  <si>
    <t>P-PAQ-14</t>
  </si>
  <si>
    <t>005-25</t>
  </si>
  <si>
    <t>P-PAQ-16</t>
  </si>
  <si>
    <t>Paquímetro Analógico - 12" / 300 mm</t>
  </si>
  <si>
    <t>José Antonio</t>
  </si>
  <si>
    <t>006-25</t>
  </si>
  <si>
    <t>1833/25</t>
  </si>
  <si>
    <t>P-PAQ-17</t>
  </si>
  <si>
    <t>RAI 004-25</t>
  </si>
  <si>
    <t>0362/24</t>
  </si>
  <si>
    <t>P-PAQ-18</t>
  </si>
  <si>
    <t>MÁRIO MÁRCIO / JEFERSON</t>
  </si>
  <si>
    <t>007-25</t>
  </si>
  <si>
    <t>P-PAQ-19</t>
  </si>
  <si>
    <t>002-25</t>
  </si>
  <si>
    <t>2139/25</t>
  </si>
  <si>
    <t>P-PAQ-20</t>
  </si>
  <si>
    <t>009-25</t>
  </si>
  <si>
    <t>P-PAQ-21</t>
  </si>
  <si>
    <t>010-25</t>
  </si>
  <si>
    <t>1918/25</t>
  </si>
  <si>
    <t>P-PAQ-22</t>
  </si>
  <si>
    <t>Não Encontrado</t>
  </si>
  <si>
    <t>76035</t>
  </si>
  <si>
    <t>P-PAQ-23</t>
  </si>
  <si>
    <t>011-25</t>
  </si>
  <si>
    <t>1834/25</t>
  </si>
  <si>
    <t>P-PAQ-25</t>
  </si>
  <si>
    <t>012-25</t>
  </si>
  <si>
    <t>P-PAQ-26</t>
  </si>
  <si>
    <t>013-25</t>
  </si>
  <si>
    <t>P-PAQ-27</t>
  </si>
  <si>
    <t>Analógico de profundidade - 300 mm</t>
  </si>
  <si>
    <t>A-4/G2</t>
  </si>
  <si>
    <t>P-PAQ-28</t>
  </si>
  <si>
    <t>Paquimetro Analógico de profundidade - 200 mm</t>
  </si>
  <si>
    <t>0,02mm</t>
  </si>
  <si>
    <t>014-25</t>
  </si>
  <si>
    <t>P-PAQ-29</t>
  </si>
  <si>
    <t>Analógico 40" / 1000 mm</t>
  </si>
  <si>
    <t>ACIMA DO ARMÁRIO</t>
  </si>
  <si>
    <t>2140/25</t>
  </si>
  <si>
    <t>P-PAT-01</t>
  </si>
  <si>
    <t>PROJETOR DE PERFIL</t>
  </si>
  <si>
    <t>PROJETOR DE PERFIL ANALÓGICO 0 A 200MM</t>
  </si>
  <si>
    <t>NIKON</t>
  </si>
  <si>
    <t>H-14B</t>
  </si>
  <si>
    <t>3224/2025</t>
  </si>
  <si>
    <t>P-POPM-01</t>
  </si>
  <si>
    <t>PADRÃO CAMPO MAGNETICO</t>
  </si>
  <si>
    <t>INDICADOR DE CAMPO MAGNETICO (PM) OCTAGONAL</t>
  </si>
  <si>
    <t>106240-1</t>
  </si>
  <si>
    <t>P-PRC-01</t>
  </si>
  <si>
    <t>Medidor de Passo de Rosca</t>
  </si>
  <si>
    <t>Medidor de Passo de Rosca (Pente de Rosca)</t>
  </si>
  <si>
    <t>ZAAS</t>
  </si>
  <si>
    <t xml:space="preserve">Padrão de Rosca Caixa </t>
  </si>
  <si>
    <t>4.1/2" LTC BOX (Rosca Longa Caixa)</t>
  </si>
  <si>
    <t>Gagemaker LP</t>
  </si>
  <si>
    <t>82.020.12.00.23.00</t>
  </si>
  <si>
    <t>A-5/G-3</t>
  </si>
  <si>
    <t>P-PRC-02</t>
  </si>
  <si>
    <t>5.1/2" (BTC) BUTTRESS CAIXA</t>
  </si>
  <si>
    <t>82.020.07.00.20.00</t>
  </si>
  <si>
    <t>P-PRC-03</t>
  </si>
  <si>
    <t>5" (BTC) BUTTRESS CAIXA</t>
  </si>
  <si>
    <t>82.020.04.00.94.00</t>
  </si>
  <si>
    <t>P-PRC-04</t>
  </si>
  <si>
    <t>5.1/2" STC BOX (Rosca Curta Caixa)</t>
  </si>
  <si>
    <t>82.020.07.00.18.00</t>
  </si>
  <si>
    <t>P-PRC-05</t>
  </si>
  <si>
    <t>4.1/2" STC BOX (Rosca Curta Caixa)</t>
  </si>
  <si>
    <t>82.020.12.00.21.00</t>
  </si>
  <si>
    <t>P-PRC-06</t>
  </si>
  <si>
    <t>82.020.12.00.25.00</t>
  </si>
  <si>
    <t>P-PRC-07</t>
  </si>
  <si>
    <t>7" STC BOX (Rosca Curta Caixa)</t>
  </si>
  <si>
    <t>82.020.12.00.29.00</t>
  </si>
  <si>
    <t>P-PRP-01</t>
  </si>
  <si>
    <t>Padrão de Rosca Pino</t>
  </si>
  <si>
    <t>4.1/2" LTC PIN (Rosca Longa Pino)</t>
  </si>
  <si>
    <t>82.020.12.00.22.00</t>
  </si>
  <si>
    <t>P-PRP-02</t>
  </si>
  <si>
    <t>5.1/2" LTC PIN (Rosca Longa Pino)</t>
  </si>
  <si>
    <t>82.020.12.00.26.00</t>
  </si>
  <si>
    <t>P-PRP-03</t>
  </si>
  <si>
    <t>82.020.07.00.17.00</t>
  </si>
  <si>
    <t>P-PRP-04</t>
  </si>
  <si>
    <t>9.5/8" LTC PIN (Rosca Longa Pino)</t>
  </si>
  <si>
    <t>82.020.07.00.27.00</t>
  </si>
  <si>
    <t>P-PRP-05</t>
  </si>
  <si>
    <t>7" LTC PIN (Rosca Longa Pino)</t>
  </si>
  <si>
    <t>82.020.07.00.22.00</t>
  </si>
  <si>
    <t>P-PRP-06</t>
  </si>
  <si>
    <t>5.1/2" (BTC) BUTTRESS PINO</t>
  </si>
  <si>
    <t>82.020.07.00.21.00</t>
  </si>
  <si>
    <t>P-PRP-07</t>
  </si>
  <si>
    <t>5" (BTC) BUTTRESS PINO</t>
  </si>
  <si>
    <t>82.020.04.00.95.00</t>
  </si>
  <si>
    <t>P-PRP-08</t>
  </si>
  <si>
    <t>7" (BTC) BUTTRESS PINO</t>
  </si>
  <si>
    <t>82.020.07.00.26.00</t>
  </si>
  <si>
    <t>P-PRP-09</t>
  </si>
  <si>
    <t>7" STC PIN (Rosca Curta Pino)</t>
  </si>
  <si>
    <t>82.020.07.00.24.00</t>
  </si>
  <si>
    <t>P-PRP-10</t>
  </si>
  <si>
    <t>4.1/2"  STC PIN (Rosca Curta Pino)</t>
  </si>
  <si>
    <t>82.020.12.00.20.00</t>
  </si>
  <si>
    <t>P-PRP-11</t>
  </si>
  <si>
    <t>5.1/2" STC PIN (Rosca Curta Pino)</t>
  </si>
  <si>
    <t>82.020.12.00.24.00</t>
  </si>
  <si>
    <t>P-PRR-01</t>
  </si>
  <si>
    <t>Medidor de Raio</t>
  </si>
  <si>
    <t>Medidor de Raio (Calibrador de Raio)</t>
  </si>
  <si>
    <t>P-PSPM-01</t>
  </si>
  <si>
    <t>PADRÃO DE SENSIBILIDADE</t>
  </si>
  <si>
    <t xml:space="preserve">PADRÃO SHIM TIPO CX-430 (SENSIBILIDADE DO ENSAIO DE PM) </t>
  </si>
  <si>
    <t>MAGNAFLUX</t>
  </si>
  <si>
    <t>021-25</t>
  </si>
  <si>
    <t>P-PUS-01</t>
  </si>
  <si>
    <t>Bloco Padrão Ultrassom</t>
  </si>
  <si>
    <t>Bloco Padrão Ultrassom (G)</t>
  </si>
  <si>
    <t>MAP-22024248</t>
  </si>
  <si>
    <t>P-PUS-02</t>
  </si>
  <si>
    <t>Bloco Padrão Ultrassom (M)</t>
  </si>
  <si>
    <t>MAP-22024247</t>
  </si>
  <si>
    <t>P-PUS-03</t>
  </si>
  <si>
    <t>Bloco Padrão Ultrassom INOX (P)</t>
  </si>
  <si>
    <t>MAP-22024246</t>
  </si>
  <si>
    <t>P-PUS-04</t>
  </si>
  <si>
    <t>Bloco Padrão Ultrassom AC (P)</t>
  </si>
  <si>
    <t>MAP 22023837</t>
  </si>
  <si>
    <t>P-PVT-01</t>
  </si>
  <si>
    <t>Padrão Visual Tátil de Rugosidade</t>
  </si>
  <si>
    <t>Jogo com 7 blocos padrão visual e tátil de rugosidade</t>
  </si>
  <si>
    <t>Digimess</t>
  </si>
  <si>
    <t>P-RAC-01</t>
  </si>
  <si>
    <t>Relógio Apalpador</t>
  </si>
  <si>
    <t>Relógio Apalpador 0-2mm</t>
  </si>
  <si>
    <t>00213/26</t>
  </si>
  <si>
    <t>P-RAC-02</t>
  </si>
  <si>
    <t>AJRME6</t>
  </si>
  <si>
    <t>0,001 mm</t>
  </si>
  <si>
    <t>022-25</t>
  </si>
  <si>
    <t>P-RC-01</t>
  </si>
  <si>
    <t>Relógio comparador</t>
  </si>
  <si>
    <t>Relógio comparador analógico 0-1 mm 2109F</t>
  </si>
  <si>
    <t>05L279</t>
  </si>
  <si>
    <t>1015/25</t>
  </si>
  <si>
    <t>P-RC-02</t>
  </si>
  <si>
    <t>Relógio comparador analógico 0-5 mm</t>
  </si>
  <si>
    <t>SBV358</t>
  </si>
  <si>
    <t>A-3/G-2</t>
  </si>
  <si>
    <t>P-RC-03</t>
  </si>
  <si>
    <t>8FJ254</t>
  </si>
  <si>
    <t>P-RC-04</t>
  </si>
  <si>
    <t xml:space="preserve">Relógio comparador analógico 0-5 mm </t>
  </si>
  <si>
    <t>SBV361</t>
  </si>
  <si>
    <t>P-RC-05</t>
  </si>
  <si>
    <t>SBV369</t>
  </si>
  <si>
    <t>P-RC-06</t>
  </si>
  <si>
    <t>Relógio comparador analógico</t>
  </si>
  <si>
    <t>SBK335</t>
  </si>
  <si>
    <t>ACOPLADO AO P-SÚ-03</t>
  </si>
  <si>
    <t>A-3/G-3</t>
  </si>
  <si>
    <t>1832-25</t>
  </si>
  <si>
    <t>P-RC-08</t>
  </si>
  <si>
    <t>Relógio comparador analógico 0-10 mm</t>
  </si>
  <si>
    <t>2046s</t>
  </si>
  <si>
    <t xml:space="preserve"> 3856/2025</t>
  </si>
  <si>
    <t>P-RC-09</t>
  </si>
  <si>
    <t>SBK333/2046S</t>
  </si>
  <si>
    <t>P-RC-12</t>
  </si>
  <si>
    <t>SBV373</t>
  </si>
  <si>
    <t>P-RC-13</t>
  </si>
  <si>
    <t>SBV368</t>
  </si>
  <si>
    <t>COLOCAR PONTA DE CONTATO</t>
  </si>
  <si>
    <t>023-25</t>
  </si>
  <si>
    <t>P-RC-14</t>
  </si>
  <si>
    <t xml:space="preserve">Relógio comparador </t>
  </si>
  <si>
    <t>SBV362</t>
  </si>
  <si>
    <t>024-25</t>
  </si>
  <si>
    <t>0241/26</t>
  </si>
  <si>
    <t>P-RC-15</t>
  </si>
  <si>
    <t>SBV367</t>
  </si>
  <si>
    <t>3857/2025</t>
  </si>
  <si>
    <t>P-RC-16</t>
  </si>
  <si>
    <t>SBV364</t>
  </si>
  <si>
    <t>JEFFERSON SOUSA</t>
  </si>
  <si>
    <t>025-25</t>
  </si>
  <si>
    <t>P-RC-17</t>
  </si>
  <si>
    <t>SBV359</t>
  </si>
  <si>
    <t>ACOPLADO AO P-MDC-05</t>
  </si>
  <si>
    <t>P-RC-18</t>
  </si>
  <si>
    <t>1O45SGA</t>
  </si>
  <si>
    <t>957U4M25</t>
  </si>
  <si>
    <t>P-RC-19</t>
  </si>
  <si>
    <t>026-25</t>
  </si>
  <si>
    <t>P-RC-20</t>
  </si>
  <si>
    <t>JTR417</t>
  </si>
  <si>
    <t>P-RC-21</t>
  </si>
  <si>
    <t>82.020.15.00.00.26.00</t>
  </si>
  <si>
    <t>0.01/0-10mm</t>
  </si>
  <si>
    <t>P-RC-22</t>
  </si>
  <si>
    <t>Relógio comparador analógico 0-1"</t>
  </si>
  <si>
    <t>JEWLED</t>
  </si>
  <si>
    <t>0.001"</t>
  </si>
  <si>
    <t>Sem ponteira</t>
  </si>
  <si>
    <t>P-RC-23</t>
  </si>
  <si>
    <t>Relógio comparador analógico 0-3 mm</t>
  </si>
  <si>
    <t>G161208</t>
  </si>
  <si>
    <t>P-RC-24</t>
  </si>
  <si>
    <t>0111/26</t>
  </si>
  <si>
    <t>P-RC-25</t>
  </si>
  <si>
    <t>P-RC-26</t>
  </si>
  <si>
    <t>0109/26</t>
  </si>
  <si>
    <t>P-RC-27</t>
  </si>
  <si>
    <t>P-RUG-01</t>
  </si>
  <si>
    <t>Rugosímetro</t>
  </si>
  <si>
    <t>Rugosímetro digital</t>
  </si>
  <si>
    <t>Câmera de Inspeção (Sonda Endoscópica)</t>
  </si>
  <si>
    <t>MBR270G</t>
  </si>
  <si>
    <t>P-SÚ-01</t>
  </si>
  <si>
    <t>Súbito (Passômetro)</t>
  </si>
  <si>
    <t>Medidor de Diâmetro interno Capacidade de 35 - 60 mm</t>
  </si>
  <si>
    <t>0,01mm / 0-3mm</t>
  </si>
  <si>
    <t>P-SÚ-02</t>
  </si>
  <si>
    <t>Medidor de Diâmetro interno Capacidade de 50 - 160 mm</t>
  </si>
  <si>
    <t>G 59541</t>
  </si>
  <si>
    <t>3867/2025</t>
  </si>
  <si>
    <t>P-SÚ-03</t>
  </si>
  <si>
    <t>Medidor de Diâmetro interno Capacidade de 50 - 150 mm</t>
  </si>
  <si>
    <t>2046S</t>
  </si>
  <si>
    <t>P-SÚ-04</t>
  </si>
  <si>
    <t>Medidor de Diâmetro interno Capacidade de 160 - 250 mm</t>
  </si>
  <si>
    <t>BORE GAUGE</t>
  </si>
  <si>
    <t>P-SÚ-05</t>
  </si>
  <si>
    <t>Medidor de Diâmetro interno Capacidade de 18 - 35 mm</t>
  </si>
  <si>
    <t>511-126</t>
  </si>
  <si>
    <t>0112/26</t>
  </si>
  <si>
    <t>P-SÚ-06</t>
  </si>
  <si>
    <t>P-SÚ-07</t>
  </si>
  <si>
    <t>Medidor de Diâmetro interno Capacidade de 50 - 100 mm</t>
  </si>
  <si>
    <t>511-128</t>
  </si>
  <si>
    <t>P-SÚ-08</t>
  </si>
  <si>
    <t>511-131</t>
  </si>
  <si>
    <t>0108/26</t>
  </si>
  <si>
    <t>P-SÚ-09</t>
  </si>
  <si>
    <t>511-130</t>
  </si>
  <si>
    <t>0110/26</t>
  </si>
  <si>
    <t>P-TDP-01</t>
  </si>
  <si>
    <t>Transdutor de Pressão</t>
  </si>
  <si>
    <t>Transdutor de Pressão 0 a 10000 PSI</t>
  </si>
  <si>
    <t>WTP-4010</t>
  </si>
  <si>
    <t xml:space="preserve">EDNOR </t>
  </si>
  <si>
    <t>liberado para uso OS 42401001- 11/25</t>
  </si>
  <si>
    <t>027-25</t>
  </si>
  <si>
    <t>P-TDP-02</t>
  </si>
  <si>
    <t>LMP433732/24</t>
  </si>
  <si>
    <t>P-TDPA-01</t>
  </si>
  <si>
    <t>TUBO DECANTADOR</t>
  </si>
  <si>
    <t>TUBO DE DECANTAÇÃO P/ PM TIPO PERA COM CAULE 1 ML DIVISÃO DE 0,05 ML</t>
  </si>
  <si>
    <t>IVM</t>
  </si>
  <si>
    <t>IVMA-17679</t>
  </si>
  <si>
    <t>IVM 103372</t>
  </si>
  <si>
    <t>P-TER-01</t>
  </si>
  <si>
    <t>SENSOR/DISPOSITIVO DE TEMPERATURA</t>
  </si>
  <si>
    <t>MEDIDOR DE TEMPERATURA</t>
  </si>
  <si>
    <t>NOVUS</t>
  </si>
  <si>
    <t>ANTÔNIO CARLOS</t>
  </si>
  <si>
    <t>028-25</t>
  </si>
  <si>
    <t>P-TER-02</t>
  </si>
  <si>
    <t>MT-350A</t>
  </si>
  <si>
    <t>REPROVADO</t>
  </si>
  <si>
    <t>P-TER-03</t>
  </si>
  <si>
    <t>TERMOPAR SIMPLES TIPO K CONVENCIONAL 200 MM</t>
  </si>
  <si>
    <t>ECIL</t>
  </si>
  <si>
    <t>029-25</t>
  </si>
  <si>
    <t>P-TER-04</t>
  </si>
  <si>
    <t>TERMÔMETRO (PIRÔMETRO) DIGITAL DE CONTATO MT-450A COM TERMOPAR MTK-01 E TERMOPAR TIPO K (-50 A 1300°C)</t>
  </si>
  <si>
    <t>0,1°C</t>
  </si>
  <si>
    <t>ACC 010-25</t>
  </si>
  <si>
    <t>A-5/P-3</t>
  </si>
  <si>
    <t>3028/25</t>
  </si>
  <si>
    <t>P-TER-05</t>
  </si>
  <si>
    <t>MEDIDOR DE TEMPERATURA (TERMÔMETRO) 62 MAX IR Thermometer -30°C a 500 °C</t>
  </si>
  <si>
    <t>F.001.24</t>
  </si>
  <si>
    <t>ACC 011-25</t>
  </si>
  <si>
    <t>030-25</t>
  </si>
  <si>
    <t>2022/25</t>
  </si>
  <si>
    <t>P-TER-06</t>
  </si>
  <si>
    <t xml:space="preserve">MEDIDOR DE TEMPERATURA (TERMÔMETRO) 568 IR Thernoneter </t>
  </si>
  <si>
    <t>F-406</t>
  </si>
  <si>
    <t>2143/24</t>
  </si>
  <si>
    <t>P-TER-07</t>
  </si>
  <si>
    <t>MEDIDOR DE TEMPERATURA (TERMÔMETRO)</t>
  </si>
  <si>
    <t>MT-320B</t>
  </si>
  <si>
    <t>031-25</t>
  </si>
  <si>
    <t>0110-25</t>
  </si>
  <si>
    <t>P-TER-08</t>
  </si>
  <si>
    <t>TERMOPAR OMEGA CASS-14G-12 TIPO K</t>
  </si>
  <si>
    <t>LT-458533</t>
  </si>
  <si>
    <t>P-TER-09</t>
  </si>
  <si>
    <t>TERMOPAR TIPO PT-100</t>
  </si>
  <si>
    <t>032-25</t>
  </si>
  <si>
    <t>P-TER-10</t>
  </si>
  <si>
    <t>ESTÁ NO FORNO</t>
  </si>
  <si>
    <t>033-25</t>
  </si>
  <si>
    <t>P-TER-11</t>
  </si>
  <si>
    <t>TERMOPAR TIPO K</t>
  </si>
  <si>
    <t>ESTÁ NA ESTUFA</t>
  </si>
  <si>
    <t>P-TER-12</t>
  </si>
  <si>
    <t>TERMOPAR TIPO J</t>
  </si>
  <si>
    <t>ESTÁ NO FOSFATO</t>
  </si>
  <si>
    <t>034-25</t>
  </si>
  <si>
    <t>P-TER-13</t>
  </si>
  <si>
    <t>Termômetro Analógico 0 a 100°C</t>
  </si>
  <si>
    <t>TI-1222003</t>
  </si>
  <si>
    <t>P-TRA-01</t>
  </si>
  <si>
    <t xml:space="preserve">Traçador de Altura </t>
  </si>
  <si>
    <t>Analógico - 600mm</t>
  </si>
  <si>
    <t>P-TRP-01</t>
  </si>
  <si>
    <t>Transmissor de Pressão</t>
  </si>
  <si>
    <t>Transmissor de Pressão 5000 psi</t>
  </si>
  <si>
    <t>Rosemount</t>
  </si>
  <si>
    <t>0002860</t>
  </si>
  <si>
    <t>A-3/P-1</t>
  </si>
  <si>
    <t>P-TRP-02</t>
  </si>
  <si>
    <t>0002861</t>
  </si>
  <si>
    <t>P-TRP-03</t>
  </si>
  <si>
    <t>Transmissor de Pressão 6000 psi</t>
  </si>
  <si>
    <t>Ashcroft</t>
  </si>
  <si>
    <t>B01118963</t>
  </si>
  <si>
    <t>P-TRP-04</t>
  </si>
  <si>
    <t>Transmissor de Pressão 500 bar</t>
  </si>
  <si>
    <t>MEGGA</t>
  </si>
  <si>
    <t>0525-1830-01</t>
  </si>
  <si>
    <t>TESTE DE CARGA</t>
  </si>
  <si>
    <t>Transmissor de Pressão 10000 psi</t>
  </si>
  <si>
    <t>P-VAL-01</t>
  </si>
  <si>
    <t xml:space="preserve">Válvula de Alívio </t>
  </si>
  <si>
    <t>3300 PSI</t>
  </si>
  <si>
    <t>LESER</t>
  </si>
  <si>
    <t>P-YK-01</t>
  </si>
  <si>
    <t>Yoke</t>
  </si>
  <si>
    <t>SEY. 101 1A</t>
  </si>
  <si>
    <t>SERV-END</t>
  </si>
  <si>
    <t>035-25</t>
  </si>
  <si>
    <t>ELT0051/26</t>
  </si>
  <si>
    <t>Orçamento para novos instrumentos</t>
  </si>
  <si>
    <t>Quantidade</t>
  </si>
  <si>
    <t>PREÇO COTADO  POR UNIDADE</t>
  </si>
  <si>
    <t>PRAZO DE ENTREGA</t>
  </si>
  <si>
    <t>Link de compra/site</t>
  </si>
  <si>
    <t>Relógio Comparador</t>
  </si>
  <si>
    <t>Relógio Comparador Profissional 0,01 Até 10mm (Diâmetro de 57mm)</t>
  </si>
  <si>
    <t>https://produto.mercadolivre.com.br/MLB-4105693363-relogio-comparador-profissional-001-ate-10mm-_JM?matt_tool=18956390&amp;utm_source=google_shopping&amp;utm_medium=organic</t>
  </si>
  <si>
    <t>Relógio Comparador 2046s 0-10mm (Diâmetro de 57mm)</t>
  </si>
  <si>
    <t xml:space="preserve">https://www.mercadolivre.com.br/relogio-comparador-mitutoyo-0-10mm-x-001mm-2046s/p/MLB24640423#polycard_client=search-nordic&amp;searchVariation=MLB24640423&amp;wid=MLB3392737933&amp;position=5&amp;search_layout=grid&amp;type=product&amp;tracking_id=683095c0-5195-474b-a734-52075294c025&amp;sid=search </t>
  </si>
  <si>
    <t xml:space="preserve">Kit 10 Ponta de Contato M2,5 </t>
  </si>
  <si>
    <t>https://produto.mercadolivre.com.br/MLB-2717472852-kit-10-pontas-contato-relogio-comparador-digimess-mitutoyo-_JM#polycard_client=search-nordic&amp;position=42&amp;search_layout=grid&amp;type=item&amp;tracking_id=5a270f73-f38c-4a36-8155-83025ea21c67&amp;wid=MLB2717472852&amp;sid=search</t>
  </si>
  <si>
    <t>Durômetro Shore A</t>
  </si>
  <si>
    <t>MetroTokyo</t>
  </si>
  <si>
    <t>https://www.lojametrotokyo.com.br/dureza/durometros-shore-a-c-asker-c-d-00/durometro-shore-a-borrachas-moles-mtk-1030-certificado-de-calibracao-rastreavel-rbcinmetro?parceiro=5339&amp;gad_source=1&amp;gad_campaignid=17348606087&amp;gbraid=0AAAAADG1SxfeNXIBXDf4yfz6lGbLwOYfR&amp;gclid=Cj0KCQjwndHEBhDVARIsAGh0g3DuS8CSl1baCYRtMh4PIULYoAV4NdXuVW57kd3GCEhXnlWX74S4gxIaAsJ-EALw_wcB</t>
  </si>
  <si>
    <t>Durômetro Shore D</t>
  </si>
  <si>
    <t>1 ShD</t>
  </si>
  <si>
    <t>https://www.lojametrotokyo.com.br/dureza/durometros-shore-a-c-asker-c-d-00/durometro-shore-d-borrachas-duras-mtk-1031-certificado-de-calibracao-rastreavel-rbcinmetro</t>
  </si>
  <si>
    <t>Paquímetro</t>
  </si>
  <si>
    <t xml:space="preserve">Paquimetro Analógico Quadridimensional 0-300mm </t>
  </si>
  <si>
    <t>Kingtools</t>
  </si>
  <si>
    <t>https://www.tecnoferramentas.com.br/paquimetro-universal-0_300mm-resolucao-de-002mm_001-polegadas-fabricado-kingtools-501300/p?idsku=2005408&amp;utm_source=google&amp;utm_medium=cpc&amp;utm_campaign=Pmax_Smart-Shopping&amp;utm_content=&amp;utm_term=&amp;gad_source=4&amp;gad_campaignid=17177580618&amp;gbraid=0AAAAADy1nPfYXdnBABVjY_gLwN2OHC0Sj&amp;gclid=Cj0KCQjwndHEBhDVARIsAGh0g3AtRLCbZGBcJ5I7OdWvIp6pgXXF6ZBesNB963qIWPiQiCDVDaVqIyUaAkCyEALw_wcB</t>
  </si>
  <si>
    <t>Micrômetro</t>
  </si>
  <si>
    <t>Micrômetro de 0-25mm</t>
  </si>
  <si>
    <t>Hardtools / Metro Tokyo</t>
  </si>
  <si>
    <t>144,65 / 195,66</t>
  </si>
  <si>
    <t>https://www.mercadolivre.com.br/jogo-de-micrometros-externos-0-a-125mm--kit-com-5-pecas/up/MLBU773375414?pdp_filters=item_id:MLB3778069892
https://www.lojametrotokyo.com.br/dimensional/micrometros-externos/jogo-de-micrometro-externo-0-75mm0-01mm-mtk-4014-certificado-de-calibracao-rastreavel-rbcinmetro?parceiro=5339&amp;gad_source=1&amp;gad_campaignid=21334495428&amp;gbraid=0AAAAADG1SxdjEhoqcAdSOb6cXnL9s7lwr&amp;gclid=Cj0KCQjwndHEBhDVARIsAGh0g3AY4643M7H1i7R2HsqigU5vX71KDpT5RY5HHSbwnf36QdNR03_tlz8aArZWEALw_wcB</t>
  </si>
  <si>
    <t>Micrômetro de 25-50mm</t>
  </si>
  <si>
    <t>Micrômetro de 50-75mm</t>
  </si>
  <si>
    <t>Hardtools</t>
  </si>
  <si>
    <t>Micrômetro de 75-100mm</t>
  </si>
  <si>
    <t>Micrômetro de 100-125mm</t>
  </si>
  <si>
    <t>DATA DE CALIBRAÇÃO</t>
  </si>
  <si>
    <t>RETIRADA APÓS CALIBRAÇÃO (STANDBY)</t>
  </si>
  <si>
    <t>82.020.09.00.01.00</t>
  </si>
  <si>
    <t>AB</t>
  </si>
  <si>
    <t>189/26</t>
  </si>
  <si>
    <t>1028/25</t>
  </si>
  <si>
    <t>E1141/26</t>
  </si>
  <si>
    <t>9W0W5826 / 4KSWJY26</t>
  </si>
  <si>
    <t>C9HY7W26 /BEF52Y26</t>
  </si>
  <si>
    <t xml:space="preserve">KOZ83U26 </t>
  </si>
  <si>
    <t>97DMGD26</t>
  </si>
  <si>
    <t>MO9ZZG26</t>
  </si>
  <si>
    <t>K5Q7I524/C94TV326</t>
  </si>
  <si>
    <t>Instrumento existente sem histórico de aquisição</t>
  </si>
  <si>
    <t>DATA DE CADASTRO</t>
  </si>
  <si>
    <t>SETOR</t>
  </si>
  <si>
    <t>PR-TRE-01</t>
  </si>
  <si>
    <t>PR-TRE-02</t>
  </si>
  <si>
    <t>PR-TRE-03</t>
  </si>
  <si>
    <t>PR-TRE-04</t>
  </si>
  <si>
    <t>TRENA PARA TUBO</t>
  </si>
  <si>
    <t>BULL</t>
  </si>
  <si>
    <t>TRENA DE AÇO 10M X 25MM</t>
  </si>
  <si>
    <t>LUFKIN</t>
  </si>
  <si>
    <t>PR-PCR-17</t>
  </si>
  <si>
    <t>PR-PCR-13</t>
  </si>
  <si>
    <t>PR-PCR-14</t>
  </si>
  <si>
    <t>PR-PCR-09</t>
  </si>
  <si>
    <t>PR-PCR-11</t>
  </si>
  <si>
    <t>PR-PCR-15</t>
  </si>
  <si>
    <t>PR-PCR-08</t>
  </si>
  <si>
    <t>PR-PCR-07</t>
  </si>
  <si>
    <t>PR-PCR-06</t>
  </si>
  <si>
    <t>PR-PCR-04</t>
  </si>
  <si>
    <t>PR-PCR-01</t>
  </si>
  <si>
    <t>PADRÃO DE PASSO BUTTRESS</t>
  </si>
  <si>
    <t>Nº DE SÉRIE</t>
  </si>
  <si>
    <t>ALLEN GAUGE</t>
  </si>
  <si>
    <t>C1221016</t>
  </si>
  <si>
    <t>PADRÃO DE PASSO LP</t>
  </si>
  <si>
    <t>PADRÃO DE PASSO EU / NU</t>
  </si>
  <si>
    <t>5691-A</t>
  </si>
  <si>
    <t>PADRÃO DE ROSCA VAM TOP</t>
  </si>
  <si>
    <t>L47</t>
  </si>
  <si>
    <t>L130</t>
  </si>
  <si>
    <t>PADRÃO DE ROSCA REGULAR</t>
  </si>
  <si>
    <t>PADRÃO DE PASSO</t>
  </si>
  <si>
    <t>B09491</t>
  </si>
  <si>
    <t>PADRÃO DE ALTURA DE FILETE</t>
  </si>
  <si>
    <t xml:space="preserve">PADRÃO DE ALTURA DE FILETE LP </t>
  </si>
  <si>
    <t xml:space="preserve">PADRÃO DE ALTURA DE FILETE BUTTRESS </t>
  </si>
  <si>
    <t xml:space="preserve">PADRÃO DE ALTURA DE FILETE </t>
  </si>
  <si>
    <t>1233A</t>
  </si>
  <si>
    <t>6780J</t>
  </si>
  <si>
    <t xml:space="preserve"> CONTROLE DE INSTRUMENTOS DE REFERÊNCIA</t>
  </si>
  <si>
    <t>TRENA CURTA DE AÇO 5M</t>
  </si>
  <si>
    <t>VONDER</t>
  </si>
  <si>
    <t>USINAGEM</t>
  </si>
  <si>
    <t>MARIVALDO</t>
  </si>
  <si>
    <t>JEFERSON</t>
  </si>
  <si>
    <t>EVERTON</t>
  </si>
  <si>
    <t>MONTAGEM</t>
  </si>
  <si>
    <t>PR-GON-01</t>
  </si>
  <si>
    <t xml:space="preserve">GONIOMETRO MEIA LUA 180º </t>
  </si>
  <si>
    <t>LOTUS</t>
  </si>
  <si>
    <t>NIVEL DE BOLSO</t>
  </si>
  <si>
    <t>PR-NIV-01</t>
  </si>
  <si>
    <t>ZEZITO</t>
  </si>
  <si>
    <t>PR-TRA-01</t>
  </si>
  <si>
    <t>TRAÇADOR DE ALTURA</t>
  </si>
  <si>
    <t>MUTUTOYO</t>
  </si>
  <si>
    <t>PR-TRE-05</t>
  </si>
  <si>
    <t>PR-TRE-06</t>
  </si>
  <si>
    <t>PR-TRE-07</t>
  </si>
  <si>
    <t>PR-TRE-08</t>
  </si>
  <si>
    <t>TRENA DE AÇO EMBORRACHADA 10M X 25MM</t>
  </si>
  <si>
    <t>LUIZ</t>
  </si>
  <si>
    <t>PR-TRE-09</t>
  </si>
  <si>
    <t>NOVE 54 FERRAMENTAS</t>
  </si>
  <si>
    <t>RUAN</t>
  </si>
  <si>
    <t>PCP</t>
  </si>
  <si>
    <t>PR-COM-01</t>
  </si>
  <si>
    <t>COMPASSO INTERNO</t>
  </si>
  <si>
    <t>GEDORE</t>
  </si>
  <si>
    <t>735-4</t>
  </si>
  <si>
    <t>PR-COM-02</t>
  </si>
  <si>
    <t>AMANDA</t>
  </si>
  <si>
    <t>ENGENHARIA</t>
  </si>
  <si>
    <t>730-1</t>
  </si>
  <si>
    <t>1705/25</t>
  </si>
  <si>
    <t>P-TDP-03</t>
  </si>
  <si>
    <t>ACOPLADO AO P-MDC-06 STAND BY</t>
  </si>
  <si>
    <t>P-ALI-02</t>
  </si>
  <si>
    <t>Alicate Amperimetro 600v AC/DC - DT362</t>
  </si>
  <si>
    <t>PR-SEN-01</t>
  </si>
  <si>
    <t>SAIDA DO STANDBY 03/02/26</t>
  </si>
  <si>
    <t>P-VAL-03</t>
  </si>
  <si>
    <t>ALUGADO (NO ACUMULADOR)</t>
  </si>
  <si>
    <t>2210/25</t>
  </si>
  <si>
    <t>NO ACUMULADOR</t>
  </si>
  <si>
    <t>TESTE HIDROSTÁTICO</t>
  </si>
  <si>
    <t>PR-CNO-02</t>
  </si>
  <si>
    <t>PR-CNO-01</t>
  </si>
  <si>
    <t>PR-BPS-01</t>
  </si>
  <si>
    <t>JOGO DE BLOCO PADRÃO</t>
  </si>
  <si>
    <t>PR-BPS-02</t>
  </si>
  <si>
    <t>TRENA 5M</t>
  </si>
  <si>
    <t>PR-COM-03</t>
  </si>
  <si>
    <t>SOLDA</t>
  </si>
  <si>
    <t>PR-TRE-11</t>
  </si>
  <si>
    <t>PR-TRE-10</t>
  </si>
  <si>
    <t>PR-CNIT-01</t>
  </si>
  <si>
    <t xml:space="preserve">CARREGADOR DE NITROGENIO </t>
  </si>
  <si>
    <t>HIDRAUTRONICA</t>
  </si>
  <si>
    <t>PR-CNIT-02</t>
  </si>
  <si>
    <t>PR-CNIT-03</t>
  </si>
  <si>
    <t>PR-TER-12</t>
  </si>
  <si>
    <t>TRENA 10M CLASSE 2</t>
  </si>
  <si>
    <t>JURANDIR</t>
  </si>
  <si>
    <t>INFRAESTRUTURA</t>
  </si>
  <si>
    <t>PR-NIV-02</t>
  </si>
  <si>
    <t>CARLOS</t>
  </si>
  <si>
    <t>PR-NIV-03</t>
  </si>
  <si>
    <t>PR-ESQ-01</t>
  </si>
  <si>
    <t>ESQUADRO METALICO</t>
  </si>
  <si>
    <t>BRASFORT</t>
  </si>
  <si>
    <t>PR-ESQ-02</t>
  </si>
  <si>
    <t>ESQUADRO MAGNÉTICO PARA SOLDA</t>
  </si>
  <si>
    <t>START</t>
  </si>
  <si>
    <t>PR-ESQ-03</t>
  </si>
  <si>
    <t>PR-TRE-13</t>
  </si>
  <si>
    <t>PR-TRE-14</t>
  </si>
  <si>
    <t>STURRET</t>
  </si>
  <si>
    <t>PR-TRE-15</t>
  </si>
  <si>
    <t>MATHEUS</t>
  </si>
  <si>
    <t>PR-COM-04</t>
  </si>
  <si>
    <t>PR-COM-05</t>
  </si>
  <si>
    <t>PR-COM-06</t>
  </si>
  <si>
    <t>COMPASSO EXTERNO</t>
  </si>
  <si>
    <t>ESTÁ NO TANQUE DE FOSFATO</t>
  </si>
  <si>
    <t>P-TER-14</t>
  </si>
  <si>
    <t xml:space="preserve">FORNO </t>
  </si>
  <si>
    <t>TRATAMENTO TERMICO</t>
  </si>
  <si>
    <t>FSR-001</t>
  </si>
  <si>
    <t>P-TER-15</t>
  </si>
  <si>
    <t>P-TER-16</t>
  </si>
  <si>
    <t>CONTROLADOR DE TEMPERATURA</t>
  </si>
  <si>
    <t>FOSFATIZAÇÃO</t>
  </si>
  <si>
    <t>N103001</t>
  </si>
  <si>
    <t>N103002</t>
  </si>
  <si>
    <t>N20K48</t>
  </si>
  <si>
    <t>P-TER-17</t>
  </si>
  <si>
    <t xml:space="preserve">CONTERP </t>
  </si>
  <si>
    <t>CONTROLADOR DE TEMPERATURA C504</t>
  </si>
  <si>
    <t>P-TER-18</t>
  </si>
  <si>
    <t>CONTROLADOR DE TEMPERATURA REX-C100</t>
  </si>
  <si>
    <t xml:space="preserve">SOLDA </t>
  </si>
  <si>
    <t>MÁQUINA DE SOLDA</t>
  </si>
  <si>
    <t>MÁQUINA DE SOLDA ELETRODO</t>
  </si>
  <si>
    <t>P-ALI-03</t>
  </si>
  <si>
    <t>alicate amperímetro (C MEDIÇÃO DE AMPERAGEM EM CC)</t>
  </si>
  <si>
    <t>1022/26</t>
  </si>
  <si>
    <t>VF9R6426 / 682SA826</t>
  </si>
  <si>
    <t>1023/26</t>
  </si>
  <si>
    <t>1014/26</t>
  </si>
  <si>
    <t>1011/26</t>
  </si>
  <si>
    <t>1010/26</t>
  </si>
  <si>
    <t>1016/26</t>
  </si>
  <si>
    <t>1015/26</t>
  </si>
  <si>
    <t>1018/26</t>
  </si>
  <si>
    <t>1017/26</t>
  </si>
  <si>
    <t>1032/26</t>
  </si>
  <si>
    <t>1024/26</t>
  </si>
  <si>
    <t>1021/26</t>
  </si>
  <si>
    <t>1004/26</t>
  </si>
  <si>
    <t>P-MSM-01</t>
  </si>
  <si>
    <t>P-MSE-02</t>
  </si>
  <si>
    <t>P-MSE-01</t>
  </si>
  <si>
    <t>P-MSE-03</t>
  </si>
  <si>
    <t>P-MAN-31</t>
  </si>
  <si>
    <t xml:space="preserve">Manometro </t>
  </si>
  <si>
    <t>PR-MAN-01</t>
  </si>
  <si>
    <t xml:space="preserve">Regulador de pressão acetileno </t>
  </si>
  <si>
    <t>MANUTENÇÃO</t>
  </si>
  <si>
    <t>PR-MAN-02</t>
  </si>
  <si>
    <t>PR-MAN-03</t>
  </si>
  <si>
    <t>PR-MAN-04</t>
  </si>
  <si>
    <t>PR-MAN-05</t>
  </si>
  <si>
    <t>PR-MAN-06</t>
  </si>
  <si>
    <t>P-TER-19</t>
  </si>
  <si>
    <t>INCOTERM</t>
  </si>
  <si>
    <t>MEDIDOR DE TEMPERATURA (TERMÔMETRO) P 4010</t>
  </si>
  <si>
    <t>D-97877</t>
  </si>
  <si>
    <t>A5/P-2</t>
  </si>
  <si>
    <t>STANDBY( CERTIFICADO COM INCOTERM)</t>
  </si>
  <si>
    <t>I00315644</t>
  </si>
  <si>
    <t>PR-MAN-07</t>
  </si>
  <si>
    <t>PR-MAN-08</t>
  </si>
  <si>
    <t>PR-MAN-09</t>
  </si>
  <si>
    <t>PR-MAN-10</t>
  </si>
  <si>
    <t>PR-MAN-11</t>
  </si>
  <si>
    <t>MANOMETRO 3KGF/CM² CLASSE B</t>
  </si>
  <si>
    <t xml:space="preserve">MANOMETRO 30KGF/CM² </t>
  </si>
  <si>
    <t>MANOMETRO 16KGF/CM²-PSI</t>
  </si>
  <si>
    <t>VORTECH</t>
  </si>
  <si>
    <t>Regulador de pressão oxigênio</t>
  </si>
  <si>
    <t>MANOMETRO 315KGF/CM²-PSI</t>
  </si>
  <si>
    <t>MANOMETRO 3KGF/CM² -PSI- ACETILENO</t>
  </si>
  <si>
    <t>MANOMETRO 40KGF/CM² -PSI- ACETILENO</t>
  </si>
  <si>
    <t>MANOMETRO 7KGF/CM² -PSI</t>
  </si>
  <si>
    <t>CILINDRO DE GLP</t>
  </si>
  <si>
    <t>MANOMETRO 40KGF/CM² -ARGONIO</t>
  </si>
  <si>
    <t>ARGONIO</t>
  </si>
  <si>
    <t>MANOMETRO 315KGF/CM² -PSI</t>
  </si>
  <si>
    <t>MANOMETRO 2,5 BAR-PSI - ACETILENO</t>
  </si>
  <si>
    <t>CONDOR</t>
  </si>
  <si>
    <t>MANOMETRO 40 BAR-PSI - ACETILENO</t>
  </si>
  <si>
    <t xml:space="preserve">PR-TRE-16 </t>
  </si>
  <si>
    <t>TRENA 3M</t>
  </si>
  <si>
    <t>PR-TRE-17</t>
  </si>
  <si>
    <t>ANTONIEL</t>
  </si>
  <si>
    <t>VALNEI</t>
  </si>
  <si>
    <t>1002/26</t>
  </si>
  <si>
    <t>1020/26</t>
  </si>
  <si>
    <t>oj</t>
  </si>
  <si>
    <t>1019/26</t>
  </si>
  <si>
    <t>1027/26</t>
  </si>
  <si>
    <t>1025/26</t>
  </si>
  <si>
    <t>1030/26</t>
  </si>
  <si>
    <t>1008/26</t>
  </si>
  <si>
    <t>0998/26</t>
  </si>
  <si>
    <t>1005/26</t>
  </si>
  <si>
    <t>1007/26</t>
  </si>
  <si>
    <t>1009/26</t>
  </si>
  <si>
    <t>1006/26</t>
  </si>
  <si>
    <t>1029/26</t>
  </si>
  <si>
    <t>1000/26</t>
  </si>
  <si>
    <t>0999/26</t>
  </si>
  <si>
    <t>1031/26</t>
  </si>
  <si>
    <t xml:space="preserve">0,05 mm </t>
  </si>
  <si>
    <t xml:space="preserve"> JEFERSON</t>
  </si>
  <si>
    <t>RETORNO PARA CAVMAN 29/07/2026</t>
  </si>
  <si>
    <t>CALIBRAÇÃO SOLICITADA 28/07/2026 (REQ 111)</t>
  </si>
  <si>
    <t>PENDENTE LAUDAR</t>
  </si>
  <si>
    <t>não encontrado no inventário de maio/26</t>
  </si>
  <si>
    <t>CALIBRAÇÃO SOLICITADA 29/07/2026 (REQ 120)</t>
  </si>
  <si>
    <t>SATAND BY</t>
  </si>
  <si>
    <t>STAND BY</t>
  </si>
  <si>
    <t>Manômetro 0-10000 psi rosca pino 1/2" npt</t>
  </si>
  <si>
    <t>1001/26</t>
  </si>
  <si>
    <t>LISTA MESTRE METROLOGIA</t>
  </si>
  <si>
    <t xml:space="preserve">CALIBRAÇÃO SOLICITADA 03/08/2026 (REQ 130 ) </t>
  </si>
  <si>
    <t xml:space="preserve">CALIBRAÇÃO SOLICITADA 17/06/2026 (SC 7804) / CALIBRAÇÃO SOLICITADA 04/08/2026 (REQ 132) </t>
  </si>
  <si>
    <t xml:space="preserve">CALIBRAÇÃO SOLICITADA 03/08/2026 (REQ 131)  </t>
  </si>
  <si>
    <t xml:space="preserve">CALIBRAÇÃO SOLICITADA 17/06/2026 (SC 7804) CALIBRAÇÃO SOLICITADA 04/08/2026 (REQ 130) </t>
  </si>
  <si>
    <t xml:space="preserve">CALIBRAÇÃO SOLICITADA 17/06/2026 (SC 7804)   CALIBRAÇÃO SOLICITADA 04/08/2026 (REQ 130)  </t>
  </si>
  <si>
    <t xml:space="preserve">CALIBRAÇÃO SOLICITADA 17/06/2026 (SC 7804)  CALIBRAÇÃO SOLICITADA 04/08/2026 (REQ 130)  </t>
  </si>
  <si>
    <t xml:space="preserve">CALIBRAÇÃO SOLICITADA 17/06/2026 (SC 7804)  CALIBRAÇÃO SOLICITADA 04/08/2026 (REQ 130) </t>
  </si>
  <si>
    <t xml:space="preserve">CALIBRAÇÃO SOLICITADA 17/06/2026 (SC 7804)   CALIBRAÇÃO SOLICITADA 04/08/2026 (REQ 130) </t>
  </si>
  <si>
    <t>PR-MAN-12</t>
  </si>
  <si>
    <t>PR-MAN-13</t>
  </si>
  <si>
    <t>PR-MAN-14</t>
  </si>
  <si>
    <t>MANOMETRO 80PSI</t>
  </si>
  <si>
    <t>MANOMETRO 6 BAR</t>
  </si>
  <si>
    <t>MANOMETRO 315 BAR</t>
  </si>
  <si>
    <t xml:space="preserve">OXIGENIO </t>
  </si>
  <si>
    <t>GLP</t>
  </si>
  <si>
    <t>PR-TRE-18</t>
  </si>
  <si>
    <t xml:space="preserve">TRENA 10M X 25MM </t>
  </si>
  <si>
    <t>XBE</t>
  </si>
  <si>
    <t>JEFERSOM / MARIO MARCIO</t>
  </si>
  <si>
    <t xml:space="preserve">TRENA DESCARTADA 11/08/2026 JUST. DANIFICADA </t>
  </si>
  <si>
    <t>1477/26</t>
  </si>
  <si>
    <t>PR-TRE-19</t>
  </si>
  <si>
    <t xml:space="preserve">TRENA 5M </t>
  </si>
  <si>
    <t>1476/26</t>
  </si>
  <si>
    <t>1472/26</t>
  </si>
  <si>
    <t>1473/26</t>
  </si>
  <si>
    <t>1475/26</t>
  </si>
  <si>
    <t>1474/26</t>
  </si>
  <si>
    <t>1469/26</t>
  </si>
  <si>
    <t>1470/26</t>
  </si>
  <si>
    <t>1466/26</t>
  </si>
  <si>
    <t>1467/26</t>
  </si>
  <si>
    <t>1464/26</t>
  </si>
  <si>
    <t xml:space="preserve">ACC 023-25 </t>
  </si>
  <si>
    <t>1465/26</t>
  </si>
  <si>
    <t>1468/26</t>
  </si>
  <si>
    <t>1003/26</t>
  </si>
  <si>
    <t xml:space="preserve">CALIBRAÇÃO SOLICITADA 21/08/2026 (REQ 195 ) </t>
  </si>
  <si>
    <t>MAQUINA DE SOLDA MIG MAG</t>
  </si>
  <si>
    <t>ALMOXARIFADO</t>
  </si>
  <si>
    <t>EDUARDO MUTTI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</si>
</sst>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\ h:mm;@"/>
    <numFmt numFmtId="165" formatCode="&quot;R$&quot;\ #,##0.00"/>
    <numFmt numFmtId="166" formatCode="[$-416]mmmm\-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48"/>
      <color theme="1"/>
      <name val="Arial"/>
      <family val="2"/>
    </font>
    <font>
      <b/>
      <sz val="28"/>
      <color theme="1"/>
      <name val="Calibri"/>
      <family val="2"/>
      <scheme val="minor"/>
    </font>
    <font>
      <b/>
      <sz val="24"/>
      <name val="Arial"/>
      <family val="2"/>
    </font>
    <font>
      <sz val="24"/>
      <name val="Arial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0"/>
      <name val="Arial"/>
      <family val="2"/>
    </font>
    <font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u/>
      <sz val="11"/>
      <name val="Calibri"/>
      <family val="2"/>
      <scheme val="minor"/>
    </font>
    <font>
      <sz val="36"/>
      <color theme="1"/>
      <name val="Calibri"/>
      <family val="2"/>
      <scheme val="minor"/>
    </font>
    <font>
      <sz val="26"/>
      <color rgb="FF0F1111"/>
      <name val="Arial"/>
      <family val="2"/>
    </font>
    <font>
      <sz val="24"/>
      <color rgb="FF000000"/>
      <name val="Aptos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6" tint="0.79961546678060247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Protection="0">
      <alignment horizontal="left" vertical="center" wrapText="1" indent="1"/>
    </xf>
    <xf numFmtId="0" fontId="1" fillId="0" borderId="0" applyProtection="0">
      <alignment horizontal="right" vertical="center" indent="1"/>
    </xf>
    <xf numFmtId="0" fontId="14" fillId="0" borderId="0" applyNumberFormat="0" applyFill="0" applyBorder="0" applyAlignment="0" applyProtection="0"/>
  </cellStyleXfs>
  <cellXfs count="192">
    <xf numFmtId="0" fontId="0" fillId="0" borderId="0" xfId="0"/>
    <xf numFmtId="14" fontId="0" fillId="0" borderId="0" xfId="0" applyNumberFormat="1"/>
    <xf numFmtId="0" fontId="3" fillId="0" borderId="0" xfId="0" applyFont="1"/>
    <xf numFmtId="0" fontId="7" fillId="2" borderId="2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164" fontId="8" fillId="6" borderId="1" xfId="2" applyNumberFormat="1" applyFont="1" applyFill="1" applyBorder="1" applyAlignment="1">
      <alignment horizontal="center" vertical="center"/>
    </xf>
    <xf numFmtId="14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9" borderId="2" xfId="1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/>
    </xf>
    <xf numFmtId="164" fontId="8" fillId="5" borderId="1" xfId="2" applyNumberFormat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7" fillId="9" borderId="2" xfId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9" fillId="9" borderId="2" xfId="1" applyFont="1" applyFill="1" applyBorder="1" applyAlignment="1">
      <alignment horizontal="center" vertical="center" wrapText="1"/>
    </xf>
    <xf numFmtId="17" fontId="8" fillId="5" borderId="1" xfId="0" applyNumberFormat="1" applyFont="1" applyFill="1" applyBorder="1" applyAlignment="1">
      <alignment horizontal="center" vertical="center"/>
    </xf>
    <xf numFmtId="0" fontId="8" fillId="6" borderId="1" xfId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64" fontId="8" fillId="6" borderId="1" xfId="2" quotePrefix="1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4" fontId="12" fillId="4" borderId="0" xfId="0" applyNumberFormat="1" applyFont="1" applyFill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14" fontId="6" fillId="8" borderId="1" xfId="0" applyNumberFormat="1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7" fillId="9" borderId="6" xfId="1" applyFont="1" applyFill="1" applyBorder="1" applyAlignment="1">
      <alignment horizontal="center" vertical="center" wrapText="1"/>
    </xf>
    <xf numFmtId="0" fontId="8" fillId="5" borderId="6" xfId="1" applyFont="1" applyFill="1" applyBorder="1" applyAlignment="1">
      <alignment horizontal="center" vertical="center" wrapText="1"/>
    </xf>
    <xf numFmtId="0" fontId="8" fillId="5" borderId="7" xfId="1" applyFont="1" applyFill="1" applyBorder="1" applyAlignment="1">
      <alignment horizontal="center" vertical="center" wrapText="1"/>
    </xf>
    <xf numFmtId="164" fontId="8" fillId="6" borderId="7" xfId="2" applyNumberFormat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 wrapText="1"/>
    </xf>
    <xf numFmtId="17" fontId="8" fillId="5" borderId="1" xfId="0" quotePrefix="1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7" fillId="11" borderId="2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14" fontId="8" fillId="5" borderId="7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3" fillId="0" borderId="0" xfId="0" applyFont="1"/>
    <xf numFmtId="164" fontId="8" fillId="5" borderId="1" xfId="2" applyNumberFormat="1" applyFont="1" applyFill="1" applyBorder="1" applyAlignment="1">
      <alignment horizontal="center" vertical="center" wrapText="1"/>
    </xf>
    <xf numFmtId="164" fontId="8" fillId="6" borderId="1" xfId="2" applyNumberFormat="1" applyFont="1" applyFill="1" applyBorder="1" applyAlignment="1">
      <alignment horizontal="center" vertical="center" wrapText="1"/>
    </xf>
    <xf numFmtId="0" fontId="8" fillId="6" borderId="1" xfId="2" applyFont="1" applyFill="1" applyBorder="1" applyAlignment="1">
      <alignment horizontal="center" vertical="center" wrapText="1"/>
    </xf>
    <xf numFmtId="0" fontId="8" fillId="5" borderId="1" xfId="2" applyFont="1" applyFill="1" applyBorder="1" applyAlignment="1">
      <alignment horizontal="center" vertical="center" wrapText="1"/>
    </xf>
    <xf numFmtId="164" fontId="8" fillId="6" borderId="1" xfId="2" quotePrefix="1" applyNumberFormat="1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164" fontId="8" fillId="6" borderId="7" xfId="2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9" borderId="6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164" fontId="8" fillId="0" borderId="1" xfId="2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0" fontId="8" fillId="5" borderId="1" xfId="1" quotePrefix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64" fontId="8" fillId="0" borderId="1" xfId="2" applyNumberFormat="1" applyFont="1" applyBorder="1" applyAlignment="1">
      <alignment horizontal="center" vertical="center" wrapText="1"/>
    </xf>
    <xf numFmtId="164" fontId="8" fillId="6" borderId="5" xfId="2" applyNumberFormat="1" applyFont="1" applyFill="1" applyBorder="1" applyAlignment="1">
      <alignment horizontal="center" vertical="center" wrapText="1"/>
    </xf>
    <xf numFmtId="0" fontId="8" fillId="5" borderId="7" xfId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2" fontId="0" fillId="0" borderId="0" xfId="0" applyNumberFormat="1" applyAlignment="1">
      <alignment wrapText="1"/>
    </xf>
    <xf numFmtId="0" fontId="8" fillId="0" borderId="1" xfId="0" applyFont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8" fillId="5" borderId="1" xfId="1" quotePrefix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7" fillId="14" borderId="2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5" fillId="0" borderId="1" xfId="3" applyFon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8" fillId="5" borderId="11" xfId="0" applyFont="1" applyFill="1" applyBorder="1" applyAlignment="1">
      <alignment horizontal="center" vertical="center" wrapText="1"/>
    </xf>
    <xf numFmtId="0" fontId="16" fillId="5" borderId="1" xfId="1" applyFont="1" applyFill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17" fillId="0" borderId="1" xfId="3" applyFont="1" applyBorder="1" applyAlignment="1">
      <alignment horizontal="center" vertical="center"/>
    </xf>
    <xf numFmtId="14" fontId="8" fillId="5" borderId="12" xfId="0" applyNumberFormat="1" applyFont="1" applyFill="1" applyBorder="1" applyAlignment="1">
      <alignment horizontal="center" vertical="center"/>
    </xf>
    <xf numFmtId="14" fontId="8" fillId="5" borderId="11" xfId="0" applyNumberFormat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horizontal="center" vertical="center" wrapText="1"/>
    </xf>
    <xf numFmtId="0" fontId="8" fillId="5" borderId="12" xfId="1" applyFont="1" applyFill="1" applyBorder="1" applyAlignment="1">
      <alignment horizontal="center" vertical="center" wrapText="1"/>
    </xf>
    <xf numFmtId="0" fontId="8" fillId="5" borderId="11" xfId="1" applyFont="1" applyFill="1" applyBorder="1" applyAlignment="1">
      <alignment horizontal="center" vertical="center" wrapText="1"/>
    </xf>
    <xf numFmtId="164" fontId="8" fillId="6" borderId="11" xfId="2" applyNumberFormat="1" applyFont="1" applyFill="1" applyBorder="1" applyAlignment="1">
      <alignment horizontal="center" vertical="center" wrapText="1"/>
    </xf>
    <xf numFmtId="0" fontId="8" fillId="5" borderId="10" xfId="1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 wrapText="1"/>
    </xf>
    <xf numFmtId="164" fontId="8" fillId="6" borderId="12" xfId="2" applyNumberFormat="1" applyFont="1" applyFill="1" applyBorder="1" applyAlignment="1">
      <alignment horizontal="center" vertical="center" wrapText="1"/>
    </xf>
    <xf numFmtId="0" fontId="9" fillId="10" borderId="2" xfId="1" applyFont="1" applyFill="1" applyBorder="1" applyAlignment="1">
      <alignment horizontal="center" vertical="center" wrapText="1"/>
    </xf>
    <xf numFmtId="0" fontId="14" fillId="0" borderId="1" xfId="3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0" fontId="7" fillId="13" borderId="6" xfId="1" applyFont="1" applyFill="1" applyBorder="1" applyAlignment="1">
      <alignment horizontal="center" vertical="center" wrapText="1"/>
    </xf>
    <xf numFmtId="0" fontId="8" fillId="5" borderId="11" xfId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164" fontId="8" fillId="5" borderId="11" xfId="2" applyNumberFormat="1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0" fontId="8" fillId="6" borderId="1" xfId="2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0" borderId="2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/>
    </xf>
    <xf numFmtId="0" fontId="7" fillId="10" borderId="6" xfId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166" fontId="8" fillId="5" borderId="1" xfId="0" quotePrefix="1" applyNumberFormat="1" applyFont="1" applyFill="1" applyBorder="1" applyAlignment="1">
      <alignment horizontal="center" vertical="center"/>
    </xf>
    <xf numFmtId="14" fontId="6" fillId="8" borderId="1" xfId="0" applyNumberFormat="1" applyFont="1" applyFill="1" applyBorder="1" applyAlignment="1">
      <alignment horizontal="center" vertical="center" wrapText="1"/>
    </xf>
    <xf numFmtId="14" fontId="8" fillId="5" borderId="1" xfId="0" applyNumberFormat="1" applyFont="1" applyFill="1" applyBorder="1" applyAlignment="1">
      <alignment horizontal="center" vertical="center" wrapText="1"/>
    </xf>
    <xf numFmtId="14" fontId="8" fillId="6" borderId="1" xfId="2" applyNumberFormat="1" applyFont="1" applyFill="1" applyBorder="1" applyAlignment="1">
      <alignment horizontal="center" vertical="center" wrapText="1"/>
    </xf>
    <xf numFmtId="14" fontId="8" fillId="5" borderId="1" xfId="2" applyNumberFormat="1" applyFont="1" applyFill="1" applyBorder="1" applyAlignment="1">
      <alignment horizontal="center" vertical="center" wrapText="1"/>
    </xf>
    <xf numFmtId="14" fontId="8" fillId="0" borderId="1" xfId="2" applyNumberFormat="1" applyFont="1" applyBorder="1" applyAlignment="1">
      <alignment horizontal="center" vertical="center" wrapText="1"/>
    </xf>
    <xf numFmtId="14" fontId="8" fillId="6" borderId="1" xfId="2" quotePrefix="1" applyNumberFormat="1" applyFont="1" applyFill="1" applyBorder="1" applyAlignment="1">
      <alignment horizontal="center" vertical="center" wrapText="1"/>
    </xf>
    <xf numFmtId="14" fontId="8" fillId="6" borderId="7" xfId="2" applyNumberFormat="1" applyFont="1" applyFill="1" applyBorder="1" applyAlignment="1">
      <alignment horizontal="center" vertical="center" wrapText="1"/>
    </xf>
    <xf numFmtId="14" fontId="8" fillId="5" borderId="7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wrapText="1"/>
    </xf>
    <xf numFmtId="0" fontId="3" fillId="5" borderId="0" xfId="0" applyFont="1" applyFill="1"/>
    <xf numFmtId="0" fontId="18" fillId="5" borderId="0" xfId="0" applyFont="1" applyFill="1"/>
    <xf numFmtId="166" fontId="8" fillId="5" borderId="12" xfId="0" quotePrefix="1" applyNumberFormat="1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wrapText="1"/>
    </xf>
    <xf numFmtId="14" fontId="13" fillId="0" borderId="0" xfId="0" applyNumberFormat="1" applyFont="1" applyAlignment="1">
      <alignment wrapText="1"/>
    </xf>
    <xf numFmtId="14" fontId="13" fillId="0" borderId="0" xfId="0" applyNumberFormat="1" applyFont="1"/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4" fontId="10" fillId="0" borderId="1" xfId="0" applyNumberFormat="1" applyFont="1" applyBorder="1" applyAlignment="1">
      <alignment horizontal="center" vertical="center"/>
    </xf>
    <xf numFmtId="0" fontId="5" fillId="8" borderId="14" xfId="0" applyFont="1" applyFill="1" applyBorder="1" applyAlignment="1">
      <alignment vertical="center"/>
    </xf>
    <xf numFmtId="0" fontId="5" fillId="8" borderId="3" xfId="0" applyFont="1" applyFill="1" applyBorder="1" applyAlignment="1">
      <alignment vertical="center"/>
    </xf>
    <xf numFmtId="0" fontId="5" fillId="8" borderId="1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4" fontId="8" fillId="5" borderId="0" xfId="0" applyNumberFormat="1" applyFont="1" applyFill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9" fillId="11" borderId="2" xfId="1" applyFont="1" applyFill="1" applyBorder="1" applyAlignment="1">
      <alignment horizontal="center" vertical="center"/>
    </xf>
    <xf numFmtId="0" fontId="9" fillId="7" borderId="2" xfId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7" fillId="7" borderId="2" xfId="1" applyFont="1" applyFill="1" applyBorder="1" applyAlignment="1">
      <alignment horizontal="center" vertical="center" wrapText="1"/>
    </xf>
    <xf numFmtId="0" fontId="9" fillId="7" borderId="2" xfId="1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9" fillId="16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4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1" xfId="0" applyFont="1" applyBorder="1"/>
    <xf numFmtId="0" fontId="19" fillId="0" borderId="1" xfId="0" applyFont="1" applyBorder="1" applyAlignment="1">
      <alignment horizontal="center" vertical="center" wrapText="1"/>
    </xf>
    <xf numFmtId="166" fontId="8" fillId="5" borderId="7" xfId="0" quotePrefix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wrapText="1"/>
    </xf>
    <xf numFmtId="14" fontId="8" fillId="5" borderId="12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9" fillId="13" borderId="2" xfId="1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1" fillId="13" borderId="4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15" fillId="0" borderId="1" xfId="3" applyFont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</cellXfs>
  <cellStyles count="4">
    <cellStyle name="Detalhes da tabela à direita" xfId="2" xr:uid="{D621F3B2-B40C-4EEB-B63A-DA6A1425805E}"/>
    <cellStyle name="Detalhes da tabela à esquerda" xfId="1" xr:uid="{C059D9E9-AEFA-4764-A64B-3B306EAA9D51}"/>
    <cellStyle name="Hiperlink" xfId="3" builtinId="8"/>
    <cellStyle name="Normal" xfId="0" builtinId="0"/>
  </cellStyles>
  <dxfs count="209"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rial"/>
        <family val="2"/>
        <scheme val="none"/>
      </font>
      <numFmt numFmtId="166" formatCode="[$-416]mmmm\-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Cn Lt"/>
        <family val="3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rial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Cn Lt"/>
        <family val="3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Cn Lt"/>
        <family val="3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Cn Lt"/>
        <family val="3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Cn Lt"/>
        <family val="3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Cn Lt"/>
        <family val="3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Cn Lt"/>
        <family val="3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Cn Lt"/>
        <family val="3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Cn Lt"/>
        <family val="3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Cn Lt"/>
        <family val="3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Cn Lt"/>
        <family val="3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Cn Lt"/>
        <family val="3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oxima Nova Alt Cn Lt"/>
        <family val="3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[LISTA MESTRE METROLOGIA.xlsx]Responsáveis por Instrumentos!Tabela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'Responsáveis por Instrumentos'!$B$1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'Responsáveis por Instrumentos'!$A$2:$A$12</c:f>
              <c:strCache>
                <c:ptCount val="10"/>
                <c:pt idx="0">
                  <c:v>Manutenção</c:v>
                </c:pt>
                <c:pt idx="1">
                  <c:v>SÉRGIO CARNEIRO</c:v>
                </c:pt>
                <c:pt idx="2">
                  <c:v>RUAN ARTHUR</c:v>
                </c:pt>
                <c:pt idx="3">
                  <c:v>AUGUSTO MONÇÃO</c:v>
                </c:pt>
                <c:pt idx="4">
                  <c:v>MICAEL AGUIAR</c:v>
                </c:pt>
                <c:pt idx="5">
                  <c:v>MURILIO SIAES</c:v>
                </c:pt>
                <c:pt idx="6">
                  <c:v>PRODUÇÃO - KLEITON</c:v>
                </c:pt>
                <c:pt idx="7">
                  <c:v>MARIVALDO JOSÉ</c:v>
                </c:pt>
                <c:pt idx="8">
                  <c:v>INFRAESTRUTURA </c:v>
                </c:pt>
                <c:pt idx="9">
                  <c:v>NATALICIO</c:v>
                </c:pt>
              </c:strCache>
            </c:strRef>
          </c:cat>
          <c:val>
            <c:numRef>
              <c:f>'Responsáveis por Instrumentos'!$B$2:$B$12</c:f>
              <c:numCache>
                <c:formatCode>General</c:formatCode>
                <c:ptCount val="10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2C5-98D1-F7CC20133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6898959"/>
        <c:axId val="2116900399"/>
      </c:barChart>
      <c:catAx>
        <c:axId val="211689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6900399"/>
        <c:crosses val="autoZero"/>
        <c:auto val="1"/>
        <c:lblAlgn val="ctr"/>
        <c:lblOffset val="100"/>
        <c:noMultiLvlLbl val="0"/>
      </c:catAx>
      <c:valAx>
        <c:axId val="211690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689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0</xdr:rowOff>
    </xdr:from>
    <xdr:to>
      <xdr:col>17</xdr:col>
      <xdr:colOff>247650</xdr:colOff>
      <xdr:row>24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D279A0-CD4C-DDD8-608E-C149BCC5F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PEC" refreshedDate="45940.602234722224" createdVersion="8" refreshedVersion="8" minRefreshableVersion="3" recordCount="282" xr:uid="{67B603F2-E229-4EB4-9BDF-7A08CCB33CC7}">
  <cacheSource type="worksheet">
    <worksheetSource name="Tabela3"/>
  </cacheSource>
  <cacheFields count="20">
    <cacheField name="TAG" numFmtId="0">
      <sharedItems/>
    </cacheField>
    <cacheField name="TIPO" numFmtId="0">
      <sharedItems/>
    </cacheField>
    <cacheField name="DESCRIÇÃO" numFmtId="0">
      <sharedItems/>
    </cacheField>
    <cacheField name="FABRICANTE" numFmtId="0">
      <sharedItems containsBlank="1"/>
    </cacheField>
    <cacheField name="N° de Série" numFmtId="0">
      <sharedItems containsBlank="1" containsMixedTypes="1" containsNumber="1" containsInteger="1" minValue="1931" maxValue="2401003600"/>
    </cacheField>
    <cacheField name="RESOLUÇÃO" numFmtId="0">
      <sharedItems containsBlank="1" containsMixedTypes="1" containsNumber="1" minValue="0.05" maxValue="0.1"/>
    </cacheField>
    <cacheField name="RESPONSÁVEL" numFmtId="0">
      <sharedItems containsBlank="1" count="55">
        <s v="INFRAESTRUTURA "/>
        <s v="QUALIDADE"/>
        <m/>
        <s v="NATALICIO"/>
        <s v="RUAN ARTHUR"/>
        <s v="EDNOR GAVAZZA"/>
        <s v="PRODUÇÃO"/>
        <s v="Manutenção"/>
        <s v="AUGUSTO MONÇÃO"/>
        <s v="HUGO LEÃO"/>
        <s v="Antoniel Martins"/>
        <s v="MICAEL AGUIAR"/>
        <s v="MURILIO SIAES"/>
        <s v="José Antonio"/>
        <s v="MÁRIO MÁRCIO / JEFERSON"/>
        <s v="PRODUÇÃO - KLEITON"/>
        <s v="MARIVALDO JOSÉ"/>
        <s v="SÉRGIO CARNEIRO"/>
        <s v="MÁRIO MÁRCIO"/>
        <s v="JEFFERSON SOUSA"/>
        <s v="WASHIGTON SANTOS"/>
        <s v="EDNOR "/>
        <s v="ANTÔNIO CARLOS"/>
        <s v="LUIZ ROGÉRIO" u="1"/>
        <s v="Antoniel" u="1"/>
        <s v="JOÃO AMARAL" u="1"/>
        <s v="Adriano Santos" u="1"/>
        <s v="PROJETOS - AMANDA" u="1"/>
        <s v="Amanda Bragano" u="1"/>
        <s v="PROCESSOS DE USINAGEM - Saulo José" u="1"/>
        <s v="Washington Santos " u="1"/>
        <s v="JOSÉ ANTÔNIO" u="1"/>
        <s v="PROCESSOS DE USINAGEM - MARIVALDO" u="1"/>
        <s v="MARIO MARCIO " u="1"/>
        <s v="Marcos Valois" u="1"/>
        <s v="Saulo Lobo" u="1"/>
        <s v="Jerfferson Sousa" u="1"/>
        <s v="Ednor" u="1"/>
        <s v="Augusto" u="1"/>
        <s v="PRODUÇÃO - ADRIANO " u="1"/>
        <s v="Montagem " u="1"/>
        <s v="USINAGEM - Saulo José" u="1"/>
        <s v="USINAGEM - MURILIO FIAES" u="1"/>
        <s v="USINAGEM - ZEZITO" u="1"/>
        <s v=" USINAGEM - MARIVALDO" u="1"/>
        <s v="USINAGEM - MARIO MARCIO " u="1"/>
        <s v="CQ - SÉRGIO" u="1"/>
        <s v="WHASHINGTON SANTOS" u="1"/>
        <s v="PROJETOS - JOÃO " u="1"/>
        <s v="MONTAGEM - KLEITON" u="1"/>
        <s v="PRODUÇÃO - RAFAEL " u="1"/>
        <s v="CQ - AUGUSTO" u="1"/>
        <s v="USINAGEM - ANDERSON" u="1"/>
        <s v="TESTE HIDROSTÁTICO" u="1"/>
        <s v="Almoxarifado" u="1"/>
      </sharedItems>
    </cacheField>
    <cacheField name="RETIRADA" numFmtId="0">
      <sharedItems containsNonDate="0" containsDate="1" containsString="0" containsBlank="1" minDate="2025-07-08T10:00:00" maxDate="2025-10-02T00:00:00"/>
    </cacheField>
    <cacheField name="OBS." numFmtId="0">
      <sharedItems containsBlank="1"/>
    </cacheField>
    <cacheField name="LOCALIZAÇÃO" numFmtId="0">
      <sharedItems containsDate="1" containsBlank="1" containsMixedTypes="1" minDate="1900-01-01T00:00:00" maxDate="1900-01-02T00:00:00"/>
    </cacheField>
    <cacheField name="TERMO DE RESPONSABILIDADE" numFmtId="0">
      <sharedItems containsBlank="1"/>
    </cacheField>
    <cacheField name="Nº CALIBRAÇÃO" numFmtId="0">
      <sharedItems containsBlank="1" containsMixedTypes="1" containsNumber="1" containsInteger="1" minValue="9110415" maxValue="9110415"/>
    </cacheField>
    <cacheField name="SITUAÇÃO" numFmtId="0">
      <sharedItems containsBlank="1" count="7">
        <s v="CALIBRADO"/>
        <s v="DESCALIBRADO"/>
        <s v="EXCEÇÃO DE TMMDE"/>
        <m/>
        <s v="NECESSÁRIO MANUTENÇÃO"/>
        <s v="SUCATA"/>
        <s v="EM CALIBRAÇÃO"/>
      </sharedItems>
    </cacheField>
    <cacheField name="DATA DA CALIBRAÇÃO/RETIRADA APÓS CALIBRAÇÃO" numFmtId="0">
      <sharedItems containsDate="1" containsBlank="1" containsMixedTypes="1" minDate="2023-04-04T00:00:00" maxDate="2025-10-01T00:00:00"/>
    </cacheField>
    <cacheField name="VALIDADE DA CALIBRAÇÃO" numFmtId="14">
      <sharedItems containsDate="1" containsBlank="1" containsMixedTypes="1" minDate="2024-04-03T00:00:00" maxDate="2029-07-27T00:00:00"/>
    </cacheField>
    <cacheField name="FREQUÊNCIA DE CALIBRAÇÃO" numFmtId="14">
      <sharedItems containsNonDate="0" containsString="0" containsBlank="1"/>
    </cacheField>
    <cacheField name="PRÓXIMA CALIBRAÇÃO" numFmtId="14">
      <sharedItems containsDate="1" containsBlank="1" containsMixedTypes="1" minDate="2025-08-06T00:00:00" maxDate="2026-03-02T00:00:00"/>
    </cacheField>
    <cacheField name="ORÇAMENTO PARA CALIBRAÇÃO" numFmtId="0">
      <sharedItems containsNonDate="0" containsString="0" containsBlank="1"/>
    </cacheField>
    <cacheField name="PRÓXIMA MANUTENÇÃO" numFmtId="14">
      <sharedItems containsDate="1" containsBlank="1" containsMixedTypes="1" minDate="2025-09-01T00:00:00" maxDate="2026-01-16T00:00:00"/>
    </cacheField>
    <cacheField name="ORÇAMENTO PARA MANUTENÇÃO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">
  <r>
    <s v="P-ALI-01"/>
    <s v="Alicate Amperímetro"/>
    <s v="Alicate Amperimetro VCC VCA ACA E OHM (200 mV a 1000V) (0 a 750 VCA) (0 a 1000 A) (200 a 20M Ohm)"/>
    <s v="MINIPA"/>
    <n v="79119"/>
    <m/>
    <x v="0"/>
    <d v="2025-10-01T00:00:00"/>
    <m/>
    <m/>
    <m/>
    <s v="2134/25"/>
    <x v="0"/>
    <d v="2025-09-26T00:00:00"/>
    <d v="2026-09-26T00:00:00"/>
    <m/>
    <m/>
    <m/>
    <m/>
    <m/>
  </r>
  <r>
    <s v="P-BB-01"/>
    <s v="Bobina"/>
    <s v="BOBINA"/>
    <s v="NEW TECH"/>
    <m/>
    <m/>
    <x v="1"/>
    <m/>
    <m/>
    <s v="SM"/>
    <m/>
    <n v="9110415"/>
    <x v="1"/>
    <d v="2024-10-10T00:00:00"/>
    <d v="2025-04-10T00:00:00"/>
    <m/>
    <m/>
    <m/>
    <m/>
    <m/>
  </r>
  <r>
    <s v="P-BPD-01"/>
    <s v="Bloco Padrão"/>
    <s v="Bloco padrão para Durômetro SHORE D"/>
    <m/>
    <s v="n/a"/>
    <m/>
    <x v="1"/>
    <m/>
    <m/>
    <s v="A-2/P-1"/>
    <m/>
    <m/>
    <x v="1"/>
    <m/>
    <s v=""/>
    <m/>
    <m/>
    <m/>
    <m/>
    <m/>
  </r>
  <r>
    <s v="P-BPD-02"/>
    <s v="Bloco Padrão"/>
    <s v="Bloco padrão para Durômetro SHORE A"/>
    <m/>
    <s v="n/a"/>
    <m/>
    <x v="1"/>
    <m/>
    <m/>
    <s v="A-2/P-1"/>
    <m/>
    <m/>
    <x v="1"/>
    <m/>
    <s v=""/>
    <m/>
    <m/>
    <m/>
    <m/>
    <m/>
  </r>
  <r>
    <s v="P-BPLP-01"/>
    <s v="Bloco padrão para Líquido Penetrante"/>
    <s v="Bloco Padrão para Líquido Penetrante"/>
    <s v="Eishim"/>
    <s v="A993"/>
    <m/>
    <x v="1"/>
    <m/>
    <m/>
    <s v="A-4/P-1"/>
    <m/>
    <m/>
    <x v="1"/>
    <m/>
    <s v=""/>
    <m/>
    <m/>
    <m/>
    <m/>
    <m/>
  </r>
  <r>
    <s v="P-BPM-01"/>
    <s v="Bloco Padrão"/>
    <s v="Bloco padrão Micrômetro (25 mm)"/>
    <m/>
    <s v="n/a"/>
    <m/>
    <x v="1"/>
    <m/>
    <m/>
    <s v="A-2/G-2"/>
    <m/>
    <s v="0102-25"/>
    <x v="0"/>
    <d v="2025-01-24T00:00:00"/>
    <d v="2026-01-24T00:00:00"/>
    <m/>
    <m/>
    <m/>
    <m/>
    <m/>
  </r>
  <r>
    <s v="P-BPM-02"/>
    <s v="Bloco Padrão"/>
    <s v="Bloco padrão Micrômetro (50 mm)"/>
    <m/>
    <s v="n/a"/>
    <m/>
    <x v="1"/>
    <m/>
    <m/>
    <s v="A-2/G-2"/>
    <m/>
    <s v="0099-25"/>
    <x v="0"/>
    <d v="2025-01-24T00:00:00"/>
    <d v="2026-01-24T00:00:00"/>
    <m/>
    <m/>
    <m/>
    <m/>
    <m/>
  </r>
  <r>
    <s v="P-BPM-03"/>
    <s v="Bloco Padrão"/>
    <s v="Bloco padrão Micrômetro (75 mm)"/>
    <m/>
    <s v="n/a"/>
    <m/>
    <x v="1"/>
    <m/>
    <m/>
    <s v="A-2/G-2"/>
    <m/>
    <s v="0105-25"/>
    <x v="0"/>
    <d v="2025-01-24T00:00:00"/>
    <d v="2026-01-24T00:00:00"/>
    <m/>
    <m/>
    <m/>
    <m/>
    <m/>
  </r>
  <r>
    <s v="P-BPM-04"/>
    <s v="Bloco Padrão"/>
    <s v="Bloco padrão Micrômetro (100mm)"/>
    <m/>
    <s v="n/a"/>
    <m/>
    <x v="1"/>
    <m/>
    <m/>
    <s v="A-2/G-2"/>
    <m/>
    <s v="0100-25"/>
    <x v="0"/>
    <d v="2025-01-24T00:00:00"/>
    <d v="2026-01-24T00:00:00"/>
    <m/>
    <m/>
    <m/>
    <m/>
    <m/>
  </r>
  <r>
    <s v="P-BPM-05"/>
    <s v="Bloco Padrão"/>
    <s v="Bloco padrão Micrômetro (125 mm)"/>
    <m/>
    <s v="n/a"/>
    <m/>
    <x v="1"/>
    <m/>
    <m/>
    <s v="A-2/G-2"/>
    <m/>
    <s v="0103-25"/>
    <x v="0"/>
    <d v="2025-01-24T00:00:00"/>
    <d v="2026-01-24T00:00:00"/>
    <m/>
    <m/>
    <m/>
    <m/>
    <m/>
  </r>
  <r>
    <s v="P-BPM-06"/>
    <s v="Bloco Padrão"/>
    <s v="Bloco padrão Micrômetro (175 mm)"/>
    <m/>
    <s v="n/a"/>
    <m/>
    <x v="1"/>
    <m/>
    <m/>
    <s v="A-2/G-2"/>
    <m/>
    <s v="0101-25"/>
    <x v="0"/>
    <d v="2025-01-24T00:00:00"/>
    <d v="2026-01-24T00:00:00"/>
    <m/>
    <m/>
    <m/>
    <m/>
    <m/>
  </r>
  <r>
    <s v="P-BPM-07"/>
    <s v="Bloco Padrão"/>
    <s v="Bloco padrão Micrômetro (200 mm)"/>
    <m/>
    <s v="n/a"/>
    <m/>
    <x v="1"/>
    <m/>
    <m/>
    <s v="A-2/G-2"/>
    <m/>
    <s v="0106-25"/>
    <x v="0"/>
    <d v="2025-01-24T00:00:00"/>
    <d v="2026-01-24T00:00:00"/>
    <m/>
    <m/>
    <m/>
    <m/>
    <m/>
  </r>
  <r>
    <s v="P-BPM-08"/>
    <s v="Bloco Padrão"/>
    <s v="Bloco padrão Micrômetro (225 mm)"/>
    <m/>
    <s v="n/a"/>
    <m/>
    <x v="1"/>
    <m/>
    <m/>
    <s v="A-2/G-2"/>
    <m/>
    <s v="0104-25"/>
    <x v="0"/>
    <d v="2025-01-24T00:00:00"/>
    <d v="2026-01-24T00:00:00"/>
    <m/>
    <m/>
    <m/>
    <m/>
    <m/>
  </r>
  <r>
    <s v="P-BPM-09"/>
    <s v="Bloco Padrão"/>
    <s v="Bloco padrão Micrômetro (25 mm)"/>
    <m/>
    <s v="n/a"/>
    <m/>
    <x v="1"/>
    <m/>
    <s v="ESTÁ COM USINANGEM"/>
    <m/>
    <m/>
    <m/>
    <x v="1"/>
    <d v="2023-12-20T00:00:00"/>
    <d v="2024-12-19T00:00:00"/>
    <m/>
    <m/>
    <m/>
    <m/>
    <m/>
  </r>
  <r>
    <s v="P-BPM-10"/>
    <s v="Bloco Padrão"/>
    <s v="Bloco padrão Micrômetro (75 mm)"/>
    <m/>
    <s v="n/a"/>
    <m/>
    <x v="1"/>
    <m/>
    <s v="ESTÁ COM USINANGEM"/>
    <m/>
    <m/>
    <s v="N/A"/>
    <x v="1"/>
    <d v="2023-12-20T00:00:00"/>
    <d v="2024-12-19T00:00:00"/>
    <m/>
    <m/>
    <m/>
    <m/>
    <m/>
  </r>
  <r>
    <s v="P-BPM-11"/>
    <s v="Bloco Padrão"/>
    <s v="Bloco padrão Micrômetro (100 mm)"/>
    <m/>
    <s v="n/a"/>
    <m/>
    <x v="1"/>
    <m/>
    <s v="ESTÁ COM USINANGEM"/>
    <m/>
    <m/>
    <s v="N/A"/>
    <x v="1"/>
    <d v="2023-12-20T00:00:00"/>
    <d v="2024-12-19T00:00:00"/>
    <m/>
    <m/>
    <m/>
    <m/>
    <m/>
  </r>
  <r>
    <s v="P-BPM-12"/>
    <s v="Bloco Padrão"/>
    <s v="Bloco padrão Micrômetro (125 mm)"/>
    <m/>
    <s v="n/a"/>
    <m/>
    <x v="1"/>
    <m/>
    <s v="ESTÁ COM USINANGEM"/>
    <m/>
    <m/>
    <s v="N/A"/>
    <x v="1"/>
    <d v="2023-12-20T00:00:00"/>
    <d v="2024-12-19T00:00:00"/>
    <m/>
    <m/>
    <m/>
    <m/>
    <m/>
  </r>
  <r>
    <s v="P-BPM-13"/>
    <s v="Bloco Padrão"/>
    <s v="Bloco padrão Micrômetro (25 mm)"/>
    <m/>
    <s v="n/a"/>
    <m/>
    <x v="1"/>
    <m/>
    <s v="ESTÁ COM USINANGEM"/>
    <m/>
    <m/>
    <s v="N/A"/>
    <x v="1"/>
    <d v="2023-12-20T00:00:00"/>
    <d v="2024-12-19T00:00:00"/>
    <m/>
    <m/>
    <m/>
    <m/>
    <m/>
  </r>
  <r>
    <s v="P-BPM-14"/>
    <s v="Bloco Padrão"/>
    <s v="Bloco padrão Micrômetro (50 mm)"/>
    <m/>
    <s v="n/a"/>
    <m/>
    <x v="1"/>
    <m/>
    <s v="ESTÁ COM USINANGEM"/>
    <m/>
    <m/>
    <s v="N/A"/>
    <x v="1"/>
    <d v="2023-12-20T00:00:00"/>
    <d v="2024-12-19T00:00:00"/>
    <m/>
    <m/>
    <m/>
    <m/>
    <m/>
  </r>
  <r>
    <s v="P-BPM-15"/>
    <s v="Bloco Padrão"/>
    <s v="Bloco padrão Micrômetro (150 mm)"/>
    <m/>
    <m/>
    <m/>
    <x v="2"/>
    <m/>
    <s v="ESTÁ COM USINANGEM"/>
    <m/>
    <m/>
    <s v="0098-25"/>
    <x v="0"/>
    <d v="2025-01-24T00:00:00"/>
    <d v="2026-01-24T00:00:00"/>
    <m/>
    <m/>
    <m/>
    <m/>
    <m/>
  </r>
  <r>
    <s v="P-BPP-01"/>
    <s v="Bloco Padrão"/>
    <s v="Bloco padrão para paquímetro (1,21 mm)"/>
    <s v="Mitutoyo"/>
    <n v="14022"/>
    <m/>
    <x v="1"/>
    <m/>
    <m/>
    <m/>
    <m/>
    <s v="A4-G4"/>
    <x v="1"/>
    <m/>
    <s v=""/>
    <m/>
    <m/>
    <m/>
    <m/>
    <m/>
  </r>
  <r>
    <s v="P-BPP-02"/>
    <s v="Bloco Padrão"/>
    <s v="Bloco padrão para paquímetro (0,56 mm)"/>
    <s v="Mitutoyo"/>
    <n v="150508"/>
    <m/>
    <x v="1"/>
    <m/>
    <m/>
    <m/>
    <m/>
    <s v="A4-G4"/>
    <x v="1"/>
    <m/>
    <s v=""/>
    <m/>
    <m/>
    <m/>
    <m/>
    <m/>
  </r>
  <r>
    <s v="P-BPP-03"/>
    <s v="Bloco Padrão"/>
    <s v="Bloco padrão para paquímetro (0,56 mm)"/>
    <s v="Mitutoyo"/>
    <s v="090017"/>
    <m/>
    <x v="1"/>
    <m/>
    <m/>
    <m/>
    <m/>
    <s v="A4-G4"/>
    <x v="1"/>
    <m/>
    <s v=""/>
    <m/>
    <m/>
    <m/>
    <m/>
    <m/>
  </r>
  <r>
    <s v="P-BPP-04"/>
    <s v="Bloco Padrão"/>
    <s v="Bloco padrão para paquímetro (0,56 mm)"/>
    <s v="Mitutoyo"/>
    <n v="150574"/>
    <m/>
    <x v="1"/>
    <m/>
    <m/>
    <m/>
    <m/>
    <s v="A4-G4"/>
    <x v="1"/>
    <m/>
    <s v=""/>
    <m/>
    <m/>
    <m/>
    <m/>
    <m/>
  </r>
  <r>
    <s v="P-BPP-05"/>
    <s v="Bloco Padrão"/>
    <s v="Bloco padrão para paquímetro (0,56 mm)"/>
    <s v="Mitutoyo"/>
    <n v="150542"/>
    <m/>
    <x v="1"/>
    <m/>
    <m/>
    <m/>
    <m/>
    <s v="A4-G4"/>
    <x v="1"/>
    <m/>
    <s v=""/>
    <m/>
    <m/>
    <m/>
    <m/>
    <m/>
  </r>
  <r>
    <s v="P-BPP-06"/>
    <s v="Bloco Padrão"/>
    <s v="Bloco padrão para paquímetro (0,56 mm)"/>
    <s v="Mitutoyo"/>
    <n v="150570"/>
    <m/>
    <x v="1"/>
    <m/>
    <m/>
    <m/>
    <m/>
    <s v="A4-G4"/>
    <x v="1"/>
    <m/>
    <s v=""/>
    <m/>
    <m/>
    <m/>
    <m/>
    <m/>
  </r>
  <r>
    <s v="P-BPS-01"/>
    <s v="Jogo de bloco Shore A"/>
    <s v="Jogo de bloco padrão"/>
    <s v="MEDTEC"/>
    <n v="170726084"/>
    <s v="n/a"/>
    <x v="1"/>
    <m/>
    <m/>
    <s v="A-2/P-1"/>
    <m/>
    <s v="N/A"/>
    <x v="1"/>
    <m/>
    <s v=""/>
    <m/>
    <m/>
    <m/>
    <m/>
    <m/>
  </r>
  <r>
    <s v="P-BPS-02"/>
    <s v="Jogo de bloco Shore D"/>
    <s v="Jogo de bloco padrão"/>
    <s v="MEDTEC"/>
    <n v="170729382"/>
    <s v="n/a"/>
    <x v="1"/>
    <m/>
    <m/>
    <s v="A-2/P-2"/>
    <m/>
    <s v="N/A"/>
    <x v="1"/>
    <m/>
    <s v=""/>
    <m/>
    <m/>
    <m/>
    <m/>
    <m/>
  </r>
  <r>
    <s v="P-CCR-01"/>
    <s v="CALIBRADOR PARA CANAL RTJ"/>
    <s v="CALIBRADOR PARA CANAL RTJ"/>
    <s v="N/A"/>
    <m/>
    <m/>
    <x v="1"/>
    <m/>
    <m/>
    <s v="SM"/>
    <m/>
    <m/>
    <x v="1"/>
    <m/>
    <s v=""/>
    <m/>
    <m/>
    <m/>
    <m/>
    <m/>
  </r>
  <r>
    <s v="P-CNO-01"/>
    <s v="CONE MEDIDOR DE O-RING"/>
    <s v="CONE MEDIDOR DE ORING"/>
    <s v="PARKER"/>
    <s v="NA"/>
    <m/>
    <x v="1"/>
    <m/>
    <m/>
    <s v="A-2/P-2"/>
    <m/>
    <s v="NA"/>
    <x v="2"/>
    <s v="NA"/>
    <s v="NA"/>
    <m/>
    <m/>
    <m/>
    <m/>
    <m/>
  </r>
  <r>
    <s v="P-CHL-01"/>
    <s v="Calibre de Solda"/>
    <s v="Calibre de Solda CG HI-LO"/>
    <s v="CARBOGRAFITE"/>
    <s v="CE-CG 298"/>
    <m/>
    <x v="3"/>
    <m/>
    <m/>
    <m/>
    <m/>
    <m/>
    <x v="1"/>
    <m/>
    <s v=""/>
    <m/>
    <m/>
    <m/>
    <m/>
    <m/>
  </r>
  <r>
    <s v="P-CRC-01"/>
    <s v="Calibrador Rosca Caixa"/>
    <s v=" 5 1/2&quot; BTC"/>
    <s v="-"/>
    <s v="R-27882"/>
    <m/>
    <x v="1"/>
    <m/>
    <s v="Alugado"/>
    <s v="-"/>
    <m/>
    <m/>
    <x v="3"/>
    <m/>
    <s v=""/>
    <m/>
    <m/>
    <m/>
    <m/>
    <m/>
  </r>
  <r>
    <s v="P-CRC-02"/>
    <s v="Calibrador Rosca Caixa"/>
    <s v="3.1/2&quot; IF"/>
    <s v="SANCHES BLANE"/>
    <m/>
    <m/>
    <x v="1"/>
    <m/>
    <m/>
    <s v="A-1/P-3"/>
    <m/>
    <m/>
    <x v="1"/>
    <m/>
    <s v=""/>
    <m/>
    <m/>
    <m/>
    <m/>
    <m/>
  </r>
  <r>
    <s v="P-CRC-03"/>
    <s v="Calibrador Rosca Caixa"/>
    <s v="2.7/8&quot; IF"/>
    <s v="SANCHES BLANE"/>
    <m/>
    <m/>
    <x v="1"/>
    <m/>
    <m/>
    <s v="A-1/P-3"/>
    <m/>
    <m/>
    <x v="1"/>
    <m/>
    <s v=""/>
    <m/>
    <m/>
    <m/>
    <m/>
    <m/>
  </r>
  <r>
    <s v="P-CRC-04"/>
    <s v="Calibrador Rosca Caixa"/>
    <s v=" 4.1/2&quot; NU - 8 THD . 3/4 TPF"/>
    <s v="LONE STAR"/>
    <s v="#1591"/>
    <m/>
    <x v="1"/>
    <m/>
    <m/>
    <s v="A-1/P-1"/>
    <m/>
    <m/>
    <x v="1"/>
    <m/>
    <s v=""/>
    <m/>
    <m/>
    <m/>
    <m/>
    <m/>
  </r>
  <r>
    <s v="P-CRC-05"/>
    <s v="Calibrador Rosca Caixa"/>
    <s v="3.1/2&quot;EU (UPTBG)"/>
    <s v="HEMCO"/>
    <s v="86985/2#1"/>
    <m/>
    <x v="1"/>
    <m/>
    <m/>
    <s v="A-2/P-3"/>
    <m/>
    <m/>
    <x v="1"/>
    <m/>
    <s v=""/>
    <m/>
    <m/>
    <m/>
    <m/>
    <m/>
  </r>
  <r>
    <s v="P-CRC-06"/>
    <s v="Calibrador Rosca Caixa"/>
    <s v=" 2.7/8&quot; EU (UPTBG)"/>
    <s v="HEMCO"/>
    <s v="76866/1#2"/>
    <m/>
    <x v="1"/>
    <m/>
    <m/>
    <s v="A-2/P-3"/>
    <m/>
    <m/>
    <x v="1"/>
    <m/>
    <s v=""/>
    <m/>
    <m/>
    <m/>
    <m/>
    <m/>
  </r>
  <r>
    <s v="P-CRC-07"/>
    <s v="Calibrador Rosca Caixa"/>
    <s v=" 2.3/8&quot; EU"/>
    <s v="HEMCO"/>
    <s v="76862/1#1"/>
    <m/>
    <x v="1"/>
    <m/>
    <m/>
    <s v="A-2/P-3"/>
    <m/>
    <m/>
    <x v="1"/>
    <m/>
    <s v=""/>
    <m/>
    <m/>
    <m/>
    <m/>
    <m/>
  </r>
  <r>
    <s v="P-CRC-08"/>
    <s v="Calibrador Rosca Caixa"/>
    <s v="6.5/8&quot; REG"/>
    <m/>
    <m/>
    <m/>
    <x v="1"/>
    <m/>
    <m/>
    <s v="A-1/P-2"/>
    <m/>
    <m/>
    <x v="1"/>
    <m/>
    <s v=""/>
    <m/>
    <m/>
    <m/>
    <m/>
    <m/>
  </r>
  <r>
    <s v="P-CRC-09"/>
    <s v="Calibrador Rosca Caixa"/>
    <s v="7 5/8&quot; REG"/>
    <m/>
    <s v="05B16005"/>
    <m/>
    <x v="1"/>
    <m/>
    <m/>
    <s v="A-1/P-1"/>
    <m/>
    <m/>
    <x v="1"/>
    <m/>
    <s v=""/>
    <m/>
    <m/>
    <m/>
    <m/>
    <m/>
  </r>
  <r>
    <s v="P-CRC-10"/>
    <s v="Calibrador Rosca Caixa"/>
    <s v=" 2.7/8&quot; NU (TBG) "/>
    <s v="HEMCO"/>
    <s v="76871/1#2"/>
    <m/>
    <x v="1"/>
    <m/>
    <m/>
    <s v="A-1/P-1"/>
    <m/>
    <m/>
    <x v="1"/>
    <m/>
    <s v=""/>
    <m/>
    <m/>
    <m/>
    <m/>
    <m/>
  </r>
  <r>
    <s v="P-CRC-11"/>
    <s v="Calibrador Rosca Caixa"/>
    <s v=" 3.1/2&quot; NU (TBG)"/>
    <s v="HEMCO"/>
    <s v="76876/1#2"/>
    <m/>
    <x v="1"/>
    <m/>
    <m/>
    <s v="A-1/P-1"/>
    <m/>
    <m/>
    <x v="1"/>
    <m/>
    <s v=""/>
    <m/>
    <m/>
    <m/>
    <m/>
    <m/>
  </r>
  <r>
    <s v="P-CRC-12"/>
    <s v="Calibrador Rosca Caixa"/>
    <s v=" 2.3/8&quot; IF 4THD.2&quot;TPF"/>
    <s v="LONE STAR"/>
    <s v="SER-2050"/>
    <m/>
    <x v="1"/>
    <m/>
    <m/>
    <s v="A-1/P-3"/>
    <m/>
    <m/>
    <x v="1"/>
    <m/>
    <s v=""/>
    <m/>
    <m/>
    <m/>
    <m/>
    <m/>
  </r>
  <r>
    <s v="P-CRC-13"/>
    <s v="Calibrador Rosca Caixa"/>
    <s v=" 2.7/8&quot; IF 4TPI "/>
    <s v="SANCHES BLANE"/>
    <m/>
    <m/>
    <x v="1"/>
    <m/>
    <m/>
    <s v="A-1/P-3"/>
    <m/>
    <m/>
    <x v="1"/>
    <m/>
    <s v=""/>
    <m/>
    <m/>
    <m/>
    <m/>
    <m/>
  </r>
  <r>
    <s v="P-CRC-14"/>
    <s v="Calibrador Rosca Caixa"/>
    <s v=" 4&quot; IF "/>
    <s v="SANCHES BLANE"/>
    <m/>
    <m/>
    <x v="1"/>
    <m/>
    <m/>
    <s v="A-1/P-3"/>
    <m/>
    <m/>
    <x v="1"/>
    <m/>
    <s v=""/>
    <m/>
    <m/>
    <m/>
    <m/>
    <m/>
  </r>
  <r>
    <s v="P-CRC-15"/>
    <s v="Calibrador Rosca Caixa"/>
    <s v="3.1/2&quot; REG 5THD3&quot;TPF"/>
    <s v="LONE STAR"/>
    <s v="SER-1917"/>
    <m/>
    <x v="1"/>
    <m/>
    <m/>
    <s v="A-1/P-2"/>
    <m/>
    <m/>
    <x v="1"/>
    <m/>
    <s v=""/>
    <m/>
    <m/>
    <m/>
    <m/>
    <m/>
  </r>
  <r>
    <s v="P-CRC-16"/>
    <s v="Calibrador Rosca Caixa"/>
    <s v="6.5/8&quot; REG"/>
    <m/>
    <m/>
    <m/>
    <x v="1"/>
    <m/>
    <m/>
    <s v="A-1/P-2"/>
    <m/>
    <m/>
    <x v="1"/>
    <m/>
    <s v=""/>
    <m/>
    <m/>
    <m/>
    <m/>
    <m/>
  </r>
  <r>
    <s v="P-CRC-17"/>
    <s v="Calibrador Rosca Caixa"/>
    <s v="4.1/2&quot; REG "/>
    <s v="LONE STAR"/>
    <s v="SER.1740"/>
    <m/>
    <x v="1"/>
    <m/>
    <m/>
    <s v="A-1/P-2"/>
    <m/>
    <m/>
    <x v="1"/>
    <m/>
    <s v=""/>
    <m/>
    <m/>
    <m/>
    <m/>
    <m/>
  </r>
  <r>
    <s v="P-CRC-18"/>
    <s v="Calibrador Rosca Caixa"/>
    <s v="4 1/2&quot; EU (UPTBG) "/>
    <s v="HEMCO"/>
    <s v="6838/1#2"/>
    <m/>
    <x v="1"/>
    <m/>
    <m/>
    <s v="A-2/P-3"/>
    <m/>
    <m/>
    <x v="1"/>
    <m/>
    <s v=""/>
    <m/>
    <m/>
    <m/>
    <m/>
    <m/>
  </r>
  <r>
    <s v="P-CRC-19"/>
    <s v="Calibrador Rosca Caixa"/>
    <s v="5.1/2&quot; BTC (BUTTRESS)"/>
    <s v="ALLEN-KURODA"/>
    <s v="HCB109"/>
    <m/>
    <x v="1"/>
    <m/>
    <m/>
    <s v="A-1/P-4"/>
    <m/>
    <m/>
    <x v="1"/>
    <m/>
    <s v=""/>
    <m/>
    <m/>
    <m/>
    <m/>
    <m/>
  </r>
  <r>
    <s v="P-CRC-20"/>
    <s v="Calibrador Rosca Caixa"/>
    <s v="2.3/8&quot; NU "/>
    <m/>
    <s v="R-35837/GB18185"/>
    <m/>
    <x v="1"/>
    <m/>
    <m/>
    <s v="A-1/P-1"/>
    <m/>
    <m/>
    <x v="1"/>
    <m/>
    <s v=""/>
    <m/>
    <m/>
    <m/>
    <m/>
    <m/>
  </r>
  <r>
    <s v="P-CRC-21"/>
    <s v="Calibrador Rosca Caixa"/>
    <s v="4.1/2&quot; IF - 4FPP"/>
    <m/>
    <m/>
    <m/>
    <x v="1"/>
    <m/>
    <m/>
    <s v="A-1/P-3"/>
    <m/>
    <m/>
    <x v="1"/>
    <m/>
    <s v=""/>
    <m/>
    <m/>
    <m/>
    <m/>
    <m/>
  </r>
  <r>
    <s v="P-CRC-22"/>
    <s v="Calibrador Rosca Caixa"/>
    <s v="1/4&quot; NPT"/>
    <s v="KINGTOOLS"/>
    <m/>
    <m/>
    <x v="1"/>
    <m/>
    <m/>
    <s v="A-2/P-3"/>
    <m/>
    <m/>
    <x v="1"/>
    <m/>
    <s v=""/>
    <m/>
    <m/>
    <m/>
    <m/>
    <m/>
  </r>
  <r>
    <s v="P-CRC-23"/>
    <s v="Calibrador Rosca Caixa"/>
    <s v="1/8&quot; NPT"/>
    <s v="KINGTOOLS"/>
    <m/>
    <m/>
    <x v="1"/>
    <m/>
    <m/>
    <s v="A-2/P-3"/>
    <m/>
    <m/>
    <x v="1"/>
    <m/>
    <s v=""/>
    <m/>
    <m/>
    <m/>
    <m/>
    <m/>
  </r>
  <r>
    <s v="P-CRC-24"/>
    <s v="Calibrador Rosca Caixa"/>
    <s v="6 5/8&quot; REG"/>
    <m/>
    <s v="05B14015"/>
    <m/>
    <x v="1"/>
    <m/>
    <m/>
    <s v="A-1/P-1"/>
    <m/>
    <m/>
    <x v="1"/>
    <m/>
    <s v=""/>
    <m/>
    <m/>
    <m/>
    <m/>
    <m/>
  </r>
  <r>
    <s v="P-CRC-25"/>
    <s v="Calibrador Rosca Caixa"/>
    <s v="13 3/8&quot; BTC"/>
    <m/>
    <s v="R-25164"/>
    <m/>
    <x v="1"/>
    <m/>
    <m/>
    <s v="A-1/P-4"/>
    <m/>
    <m/>
    <x v="1"/>
    <m/>
    <s v=""/>
    <m/>
    <m/>
    <m/>
    <m/>
    <m/>
  </r>
  <r>
    <s v="P-CRP-01"/>
    <s v="Calibrador de Rosca Pino"/>
    <s v=" 2&quot; LP - 11,5 FPP"/>
    <s v="NEOMATIC"/>
    <n v="310507"/>
    <m/>
    <x v="1"/>
    <m/>
    <m/>
    <s v="A-2/P-3"/>
    <m/>
    <m/>
    <x v="1"/>
    <m/>
    <s v=""/>
    <m/>
    <m/>
    <m/>
    <m/>
    <m/>
  </r>
  <r>
    <s v="P-CRP-02"/>
    <s v="Calibrador de Rosca Pino"/>
    <s v=" 2&quot; LP - 11,5 FPP"/>
    <s v="NEOMATIC"/>
    <n v="280207"/>
    <m/>
    <x v="1"/>
    <m/>
    <m/>
    <s v="A-2/P-3"/>
    <m/>
    <m/>
    <x v="1"/>
    <m/>
    <s v=""/>
    <m/>
    <m/>
    <m/>
    <m/>
    <m/>
  </r>
  <r>
    <s v="P-CRP-03"/>
    <s v="Calibrador de Rosca Pino"/>
    <s v=" 3&quot; LP - 8 FPP"/>
    <s v="NEOMATIC"/>
    <n v="310507"/>
    <m/>
    <x v="1"/>
    <m/>
    <m/>
    <s v="A-2/P-3"/>
    <m/>
    <m/>
    <x v="1"/>
    <m/>
    <s v=""/>
    <m/>
    <m/>
    <m/>
    <m/>
    <m/>
  </r>
  <r>
    <s v="P-CRP-04"/>
    <s v="Calibrador de Rosca Pino"/>
    <s v=" 3&quot; LP - 8 FPP"/>
    <s v="NEOMATIC"/>
    <n v="280207"/>
    <m/>
    <x v="1"/>
    <m/>
    <m/>
    <s v="A-2/P-3"/>
    <m/>
    <m/>
    <x v="1"/>
    <m/>
    <s v=""/>
    <m/>
    <m/>
    <m/>
    <m/>
    <m/>
  </r>
  <r>
    <s v="P-CRP-05"/>
    <s v="Calibrador de Rosca Pino"/>
    <s v=" 4&quot; LP - 8 FPP"/>
    <s v="NEOMATIC"/>
    <s v="S100/01"/>
    <m/>
    <x v="1"/>
    <m/>
    <m/>
    <s v="A-2/P-3"/>
    <m/>
    <m/>
    <x v="1"/>
    <m/>
    <s v=""/>
    <m/>
    <m/>
    <m/>
    <m/>
    <m/>
  </r>
  <r>
    <s v="P-CRP-06"/>
    <s v="Calibrador de Rosca Pino"/>
    <s v=" 4.1/2&quot; EU / UPTBG"/>
    <s v="HEMCO"/>
    <s v="76879/181#"/>
    <m/>
    <x v="1"/>
    <m/>
    <m/>
    <s v="A-2/P-3"/>
    <m/>
    <m/>
    <x v="1"/>
    <m/>
    <s v=""/>
    <m/>
    <m/>
    <m/>
    <m/>
    <m/>
  </r>
  <r>
    <s v="P-CRP-07"/>
    <s v="Calibrador de Rosca Pino"/>
    <s v=" 2.7/8&quot; EU - UPTBG "/>
    <s v="HEMCO"/>
    <s v="76868/1#2"/>
    <m/>
    <x v="1"/>
    <m/>
    <m/>
    <s v="A-2/P-3"/>
    <m/>
    <m/>
    <x v="1"/>
    <m/>
    <s v=""/>
    <m/>
    <m/>
    <m/>
    <m/>
    <m/>
  </r>
  <r>
    <s v="P-CRP-08"/>
    <s v="Calibrador de Rosca Pino"/>
    <s v="2.3/8&quot; EU"/>
    <s v="HEMCO"/>
    <s v="76880/1#1"/>
    <m/>
    <x v="1"/>
    <m/>
    <m/>
    <s v="A-2/P-3"/>
    <m/>
    <m/>
    <x v="1"/>
    <m/>
    <s v=""/>
    <m/>
    <m/>
    <m/>
    <m/>
    <m/>
  </r>
  <r>
    <s v="P-CRP-09"/>
    <s v="Calibrador de Rosca Pino"/>
    <s v=" PASSA/NÃO PASSA 1.5/8&quot; UN 2B - 12 FPP"/>
    <s v="NEOMATIC"/>
    <n v="2209765"/>
    <m/>
    <x v="1"/>
    <m/>
    <m/>
    <s v="A-2/P-3"/>
    <m/>
    <m/>
    <x v="1"/>
    <m/>
    <s v=""/>
    <m/>
    <m/>
    <m/>
    <m/>
    <m/>
  </r>
  <r>
    <s v="P-CRP-10"/>
    <s v="Calibrador de Rosca Pino"/>
    <s v=" 6.5/8&quot; REG - 4 THD E 2&quot; TPF"/>
    <s v="LONE STAR"/>
    <s v="SER. # 1939"/>
    <m/>
    <x v="1"/>
    <m/>
    <m/>
    <s v="A-1/P-2"/>
    <m/>
    <m/>
    <x v="1"/>
    <m/>
    <s v=""/>
    <m/>
    <m/>
    <m/>
    <m/>
    <m/>
  </r>
  <r>
    <s v="P-CRP-11"/>
    <s v="Calibrador de Rosca Pino"/>
    <s v=" 4.1/2&quot; REG - 5 THD E 3TPF"/>
    <s v="LONE STAR"/>
    <s v="SER.1753"/>
    <m/>
    <x v="1"/>
    <m/>
    <m/>
    <s v="A-1/P-2"/>
    <m/>
    <m/>
    <x v="1"/>
    <m/>
    <s v=""/>
    <m/>
    <m/>
    <m/>
    <m/>
    <m/>
  </r>
  <r>
    <s v="P-CRP-12"/>
    <s v="Calibrador de Rosca Pino"/>
    <s v=" 3.1/2&quot; IF"/>
    <s v="SANCHES BLANE"/>
    <s v="-"/>
    <m/>
    <x v="1"/>
    <m/>
    <m/>
    <s v="A-1/P-3"/>
    <m/>
    <m/>
    <x v="1"/>
    <m/>
    <s v=""/>
    <m/>
    <m/>
    <m/>
    <m/>
    <m/>
  </r>
  <r>
    <s v="P-CRP-13"/>
    <s v="Calibrador de Rosca Pino"/>
    <s v=" 2.7/8&quot; IF"/>
    <s v="SANCHES BLANE"/>
    <s v="-"/>
    <m/>
    <x v="1"/>
    <m/>
    <m/>
    <s v="A-1/P-3"/>
    <m/>
    <m/>
    <x v="1"/>
    <m/>
    <s v=""/>
    <m/>
    <m/>
    <m/>
    <m/>
    <m/>
  </r>
  <r>
    <s v="P-CRP-14"/>
    <s v="Calibrador de Rosca Pino"/>
    <s v=" 4.1/2&quot; IF"/>
    <s v="ALAMEDA"/>
    <s v="-"/>
    <m/>
    <x v="1"/>
    <m/>
    <m/>
    <s v="A-1/P-3"/>
    <m/>
    <m/>
    <x v="1"/>
    <m/>
    <s v=""/>
    <m/>
    <m/>
    <m/>
    <m/>
    <m/>
  </r>
  <r>
    <s v="P-CRP-15"/>
    <s v="Calibrador de Rosca Pino"/>
    <s v=" PASSA/NÃO PASSA 1/2&quot;  14 NPT"/>
    <s v="KINGTOOLS"/>
    <s v="-"/>
    <m/>
    <x v="1"/>
    <m/>
    <m/>
    <s v="A-2/P-3"/>
    <m/>
    <m/>
    <x v="1"/>
    <m/>
    <s v=""/>
    <m/>
    <m/>
    <m/>
    <m/>
    <m/>
  </r>
  <r>
    <s v="P-CRP-16"/>
    <s v="Calibrador de Rosca Pino"/>
    <s v=" PASSA/NÃO PASSA 1.1/4&quot; - 12 UNF - 2B"/>
    <s v="CALIBRATOOLS"/>
    <s v="WB660"/>
    <m/>
    <x v="1"/>
    <m/>
    <m/>
    <s v="A-2/P-3"/>
    <m/>
    <m/>
    <x v="1"/>
    <m/>
    <s v=""/>
    <m/>
    <m/>
    <m/>
    <m/>
    <m/>
  </r>
  <r>
    <s v="P-CRP-17"/>
    <s v="Calibrador de Rosca Pino"/>
    <s v=" 5-1/2&quot;  BTC (BUTTRESS)"/>
    <s v="ALLEN-KURODA"/>
    <s v="-"/>
    <m/>
    <x v="1"/>
    <m/>
    <m/>
    <s v="A-1/P-4"/>
    <m/>
    <m/>
    <x v="1"/>
    <m/>
    <s v=""/>
    <m/>
    <m/>
    <m/>
    <m/>
    <m/>
  </r>
  <r>
    <s v="P-CRP-18"/>
    <s v="Calibrador de Rosca Pino"/>
    <s v=" 2.7/8&quot; NU (TBG) "/>
    <s v="HEMCO"/>
    <s v="76872/1#2"/>
    <m/>
    <x v="1"/>
    <m/>
    <m/>
    <s v="A-1/P-1"/>
    <m/>
    <m/>
    <x v="1"/>
    <m/>
    <s v=""/>
    <m/>
    <m/>
    <m/>
    <m/>
    <m/>
  </r>
  <r>
    <s v="P-CRP-19"/>
    <s v="Calibrador de Rosca Pino"/>
    <s v=" 3.1/2&quot; NU (TBG)'"/>
    <s v="HEMCO"/>
    <s v="76877/1#1"/>
    <m/>
    <x v="1"/>
    <m/>
    <m/>
    <s v="A-1/P-1"/>
    <m/>
    <m/>
    <x v="1"/>
    <m/>
    <s v=""/>
    <m/>
    <m/>
    <m/>
    <m/>
    <m/>
  </r>
  <r>
    <s v="P-CRP-20"/>
    <s v="Calibrador de Rosca Pino"/>
    <s v=" 3.1/2&quot; EU UPTBG"/>
    <s v="HEMCO"/>
    <s v="76875/1#1"/>
    <m/>
    <x v="1"/>
    <m/>
    <m/>
    <s v="A-2/P-3"/>
    <m/>
    <m/>
    <x v="1"/>
    <m/>
    <s v=""/>
    <m/>
    <m/>
    <m/>
    <m/>
    <m/>
  </r>
  <r>
    <s v="P-CRP-21"/>
    <s v="Calibrador de Rosca Pino"/>
    <s v="2.3/8&quot; NU (TBG)"/>
    <s v="PMC INDUSTRIES"/>
    <s v="R-35833/GB-18175"/>
    <m/>
    <x v="1"/>
    <m/>
    <m/>
    <s v="A-1/P-1"/>
    <m/>
    <m/>
    <x v="1"/>
    <m/>
    <s v=""/>
    <m/>
    <m/>
    <m/>
    <m/>
    <m/>
  </r>
  <r>
    <s v="P-CRP-22"/>
    <s v="Calibrador de Rosca Pino"/>
    <s v="2.7/8&quot; REG  5THD.3&quot;TPF"/>
    <s v="LONE STAR"/>
    <s v="SER.1906"/>
    <m/>
    <x v="1"/>
    <m/>
    <m/>
    <s v="A-1/P-2"/>
    <m/>
    <m/>
    <x v="1"/>
    <m/>
    <s v=""/>
    <m/>
    <m/>
    <m/>
    <m/>
    <m/>
  </r>
  <r>
    <s v="P-CRP-23"/>
    <s v="Calibrador de Rosca Pino"/>
    <s v=" 2.3/8&quot; IF 4THD.2&quot;TPF"/>
    <s v="LONE STAR"/>
    <s v="SER-2024"/>
    <m/>
    <x v="1"/>
    <m/>
    <m/>
    <s v="A-1/P-3"/>
    <m/>
    <m/>
    <x v="1"/>
    <m/>
    <s v=""/>
    <m/>
    <m/>
    <m/>
    <m/>
    <m/>
  </r>
  <r>
    <s v="P-CRP-24"/>
    <s v="Calibrador de Rosca Pino"/>
    <s v=" 2.7/8&quot; IF 4TPI"/>
    <s v="SANCHES BLANE"/>
    <m/>
    <m/>
    <x v="1"/>
    <m/>
    <m/>
    <s v="A-1/P-3"/>
    <m/>
    <m/>
    <x v="1"/>
    <m/>
    <s v=""/>
    <m/>
    <m/>
    <m/>
    <m/>
    <m/>
  </r>
  <r>
    <s v="P-CRP-25"/>
    <s v="Calibrador de Rosca Pino"/>
    <s v="4&quot; IF"/>
    <s v="SANCHES BLANE"/>
    <m/>
    <m/>
    <x v="1"/>
    <m/>
    <m/>
    <s v="A-1/P-3"/>
    <m/>
    <m/>
    <x v="1"/>
    <m/>
    <s v=""/>
    <m/>
    <m/>
    <m/>
    <m/>
    <m/>
  </r>
  <r>
    <s v="P-CRP-26"/>
    <s v="Calibrador de Rosca Pino"/>
    <s v=" 3.1/2&quot; REG "/>
    <s v="LONE STAR"/>
    <s v="SER-1680"/>
    <m/>
    <x v="1"/>
    <m/>
    <m/>
    <s v="A-1/P-2"/>
    <m/>
    <m/>
    <x v="1"/>
    <m/>
    <s v=""/>
    <m/>
    <m/>
    <m/>
    <m/>
    <m/>
  </r>
  <r>
    <s v="P-CRP-27"/>
    <s v="Calibrador de Rosca Pino"/>
    <s v=" 9.5/8&quot; BTC (BUTTRESS)"/>
    <s v="HOMCO"/>
    <m/>
    <m/>
    <x v="1"/>
    <m/>
    <m/>
    <s v="A-1/P-5"/>
    <m/>
    <m/>
    <x v="1"/>
    <m/>
    <s v=""/>
    <m/>
    <m/>
    <m/>
    <m/>
    <m/>
  </r>
  <r>
    <s v="P-CRP-28"/>
    <s v="Calibrador de Rosca Pino"/>
    <s v=" 4.1/2&quot; IF - 4FPP"/>
    <m/>
    <m/>
    <m/>
    <x v="1"/>
    <m/>
    <m/>
    <s v="A-1/P-3"/>
    <s v="RAI 003-25"/>
    <m/>
    <x v="2"/>
    <m/>
    <s v=""/>
    <m/>
    <m/>
    <m/>
    <m/>
    <m/>
  </r>
  <r>
    <s v="P-CRP-29"/>
    <s v="Calibrador de Rosca Pino"/>
    <s v="7.5/8&quot; REG"/>
    <m/>
    <m/>
    <m/>
    <x v="1"/>
    <m/>
    <m/>
    <s v="A-1/P-2"/>
    <m/>
    <m/>
    <x v="1"/>
    <m/>
    <s v=""/>
    <m/>
    <m/>
    <m/>
    <m/>
    <m/>
  </r>
  <r>
    <s v="P-CRP-30"/>
    <s v="Calibrador de Rosca Pino"/>
    <s v="1/4&quot; -18 NPT"/>
    <s v="KINGTOOLS"/>
    <m/>
    <m/>
    <x v="1"/>
    <m/>
    <m/>
    <s v="A-2/P-3"/>
    <m/>
    <m/>
    <x v="1"/>
    <m/>
    <s v=""/>
    <m/>
    <m/>
    <m/>
    <m/>
    <m/>
  </r>
  <r>
    <s v="P-CRP-31"/>
    <s v="Calibrador de Rosca Pino"/>
    <s v="1/8 -27 NPT"/>
    <s v="KINGTOOLS"/>
    <m/>
    <m/>
    <x v="1"/>
    <m/>
    <m/>
    <s v="A-2/P-3"/>
    <m/>
    <m/>
    <x v="1"/>
    <m/>
    <s v=""/>
    <m/>
    <m/>
    <m/>
    <m/>
    <m/>
  </r>
  <r>
    <s v="P-CRP-32"/>
    <s v="Calibrador de Rosca Pino"/>
    <s v="1&quot; NPT"/>
    <m/>
    <m/>
    <m/>
    <x v="1"/>
    <m/>
    <m/>
    <s v="A-2/P-3"/>
    <m/>
    <m/>
    <x v="1"/>
    <m/>
    <s v=""/>
    <m/>
    <m/>
    <m/>
    <m/>
    <m/>
  </r>
  <r>
    <s v="P-CRP-33"/>
    <s v="Calibrador de Rosca Pino"/>
    <s v="6 5/8 REG"/>
    <m/>
    <s v="05B14015"/>
    <m/>
    <x v="1"/>
    <m/>
    <m/>
    <s v="A-1/P-2"/>
    <m/>
    <m/>
    <x v="1"/>
    <m/>
    <s v=""/>
    <m/>
    <m/>
    <m/>
    <m/>
    <m/>
  </r>
  <r>
    <s v="P-CTE-01"/>
    <s v="Câmera Termográfica"/>
    <s v="Câmera Termográfica"/>
    <m/>
    <m/>
    <m/>
    <x v="1"/>
    <m/>
    <m/>
    <s v="A-5/P-1"/>
    <m/>
    <m/>
    <x v="1"/>
    <m/>
    <s v=""/>
    <m/>
    <m/>
    <m/>
    <m/>
    <m/>
  </r>
  <r>
    <s v="P-DUR-01"/>
    <s v="Durômetro"/>
    <s v="Durômetro Shore &quot;D&quot; DIGITAL para elastomero"/>
    <s v="MEDTEC"/>
    <s v="HT-6510"/>
    <n v="0.1"/>
    <x v="1"/>
    <m/>
    <m/>
    <s v="A-2/P-1"/>
    <m/>
    <m/>
    <x v="4"/>
    <m/>
    <s v=""/>
    <m/>
    <m/>
    <m/>
    <d v="2025-11-01T00:00:00"/>
    <m/>
  </r>
  <r>
    <s v="P-DUR-02"/>
    <s v="Durômetro"/>
    <s v="Durômetro Shore A Analogico para elastomero"/>
    <s v="KORI SEIKE MFG. CO. LTD"/>
    <n v="30467"/>
    <s v="1 ShA"/>
    <x v="1"/>
    <m/>
    <m/>
    <s v="A-2/P-1"/>
    <m/>
    <m/>
    <x v="5"/>
    <m/>
    <s v=""/>
    <m/>
    <m/>
    <m/>
    <m/>
    <m/>
  </r>
  <r>
    <s v="P-DUR-03"/>
    <s v="Durômetro"/>
    <s v="Durômetro digital portátil  (HV, HB, HRC,HS,HRB, HL)"/>
    <s v="Metro Tokyo"/>
    <s v="00005601 2012"/>
    <m/>
    <x v="1"/>
    <m/>
    <m/>
    <s v="A-2/P-1"/>
    <m/>
    <s v="2E2B124"/>
    <x v="4"/>
    <d v="2023-04-04T00:00:00"/>
    <d v="2024-04-03T00:00:00"/>
    <m/>
    <m/>
    <m/>
    <d v="2026-01-15T00:00:00"/>
    <m/>
  </r>
  <r>
    <s v="P-DUR-04"/>
    <s v="Durômetro"/>
    <s v="Durômetro Shore A Analogico para elastomero"/>
    <s v="Metro Tokyo"/>
    <m/>
    <m/>
    <x v="1"/>
    <m/>
    <m/>
    <s v="A-2/P-1"/>
    <m/>
    <s v="67EW3724"/>
    <x v="1"/>
    <d v="2023-12-01T00:00:00"/>
    <d v="2025-12-01T00:00:00"/>
    <m/>
    <d v="2025-11-01T00:00:00"/>
    <m/>
    <d v="2025-10-01T00:00:00"/>
    <m/>
  </r>
  <r>
    <s v="P-DUR-05"/>
    <s v="Durômetro"/>
    <s v="Durômetro de Bancada para  Rockwell B e C"/>
    <s v="Mitutoyo"/>
    <s v="BF000101"/>
    <m/>
    <x v="1"/>
    <m/>
    <m/>
    <s v="SM"/>
    <m/>
    <s v="DU-0080/2023"/>
    <x v="1"/>
    <d v="2024-01-09T00:00:00"/>
    <d v="2024-07-08T00:00:00"/>
    <m/>
    <d v="2025-09-01T00:00:00"/>
    <m/>
    <d v="2025-09-15T00:00:00"/>
    <m/>
  </r>
  <r>
    <s v="P-DUR-06"/>
    <s v="Durômetro"/>
    <s v="Durômetro Shore A Analogico para elastomero"/>
    <s v="Metro Tokyo"/>
    <n v="661921"/>
    <s v="1 ShA"/>
    <x v="1"/>
    <m/>
    <m/>
    <s v="A-2/P-1"/>
    <m/>
    <s v="1261-2605"/>
    <x v="0"/>
    <d v="2025-09-23T00:00:00"/>
    <d v="2026-09-23T00:00:00"/>
    <m/>
    <m/>
    <m/>
    <m/>
    <m/>
  </r>
  <r>
    <s v="P-EC-02"/>
    <s v="Esquadro combinado"/>
    <s v="Esquadro combinado"/>
    <m/>
    <m/>
    <m/>
    <x v="1"/>
    <m/>
    <s v="não encontrado"/>
    <m/>
    <m/>
    <m/>
    <x v="3"/>
    <m/>
    <s v=""/>
    <m/>
    <m/>
    <m/>
    <m/>
    <m/>
  </r>
  <r>
    <s v="P-JBP-01"/>
    <s v="Jogo de Bloco Padrão"/>
    <s v="Jogo de Bloc Padrão com 85 peças (bloco padrão mínimo 1,002 mm e máxima 100 mm)"/>
    <s v="Kuroda"/>
    <s v="0486"/>
    <m/>
    <x v="1"/>
    <m/>
    <m/>
    <m/>
    <m/>
    <s v="A4-G4"/>
    <x v="1"/>
    <m/>
    <s v=""/>
    <m/>
    <m/>
    <m/>
    <m/>
    <m/>
  </r>
  <r>
    <s v="P-LUX-01"/>
    <s v="Luxímetro"/>
    <s v="Luximetro 1-2000 LUX "/>
    <s v="SMART SENSOR "/>
    <s v="AS803"/>
    <m/>
    <x v="1"/>
    <m/>
    <m/>
    <s v="A-4/P-1"/>
    <m/>
    <s v="2021/25"/>
    <x v="0"/>
    <d v="2025-09-17T00:00:00"/>
    <d v="2026-03-16T00:00:00"/>
    <m/>
    <d v="2026-03-01T00:00:00"/>
    <m/>
    <m/>
    <m/>
  </r>
  <r>
    <s v="P-MAF-03"/>
    <s v="Medidor  Altura de Filete"/>
    <s v="Medidor de altura de filete rosca Interior"/>
    <s v="Pittsburgh"/>
    <m/>
    <m/>
    <x v="1"/>
    <m/>
    <m/>
    <s v="A-5/G-1"/>
    <m/>
    <s v="1Q0F4T25"/>
    <x v="0"/>
    <d v="2025-05-07T00:00:00"/>
    <d v="2026-05-07T00:00:00"/>
    <m/>
    <m/>
    <m/>
    <m/>
    <m/>
  </r>
  <r>
    <s v="P-MAF-04"/>
    <s v="Medidor  Altura de Filete"/>
    <s v="Medidor de altura de filete rosca Interior"/>
    <s v="Pittsburgh"/>
    <m/>
    <m/>
    <x v="1"/>
    <m/>
    <m/>
    <s v="A-5/G-6"/>
    <m/>
    <m/>
    <x v="5"/>
    <m/>
    <s v=""/>
    <m/>
    <m/>
    <m/>
    <m/>
    <m/>
  </r>
  <r>
    <s v="P-MAF-06"/>
    <s v="Medidor  Altura de Filete"/>
    <s v="Medidor de altura de filete rosca Interior"/>
    <s v="Pittsburgh"/>
    <m/>
    <m/>
    <x v="1"/>
    <m/>
    <m/>
    <s v="A-5/G-1"/>
    <m/>
    <s v="YZL3PE24 / CDA70X24"/>
    <x v="1"/>
    <d v="2024-03-26T00:00:00"/>
    <d v="2025-03-26T00:00:00"/>
    <m/>
    <m/>
    <m/>
    <m/>
    <m/>
  </r>
  <r>
    <s v="P-MAF-07"/>
    <s v="Medidor  Altura de Filete Externo"/>
    <s v="Medidor de altura de filete rosca Externo"/>
    <s v="Adibak"/>
    <s v="LWG156"/>
    <s v="0.0005&quot;"/>
    <x v="1"/>
    <m/>
    <m/>
    <s v="A-5/G-6"/>
    <m/>
    <m/>
    <x v="5"/>
    <m/>
    <s v=""/>
    <m/>
    <m/>
    <m/>
    <m/>
    <m/>
  </r>
  <r>
    <s v="P-MAF-08"/>
    <s v="Medidor  Altura de Filete Externo"/>
    <s v="Medidor de altura de filete rosca Externo"/>
    <s v="Adibak"/>
    <s v="LWG156"/>
    <s v="0.0005&quot;"/>
    <x v="1"/>
    <m/>
    <m/>
    <s v="A-5/G-1"/>
    <m/>
    <s v="SXHWX024 / SRI62024"/>
    <x v="1"/>
    <d v="2024-03-22T00:00:00"/>
    <d v="2025-03-22T00:00:00"/>
    <m/>
    <m/>
    <m/>
    <m/>
    <m/>
  </r>
  <r>
    <s v="P-MAF-09"/>
    <s v="Medidor  Altura de Filete Externo"/>
    <s v="Medidor de altura de filete rosca Externo"/>
    <s v="Mitutoyo"/>
    <s v="SHQ722"/>
    <s v="0.0005&quot;"/>
    <x v="1"/>
    <m/>
    <m/>
    <s v="A-5/G-1"/>
    <m/>
    <s v="4H0Z2W25 / WCM1HV25"/>
    <x v="0"/>
    <d v="2025-05-07T00:00:00"/>
    <d v="2026-05-07T00:00:00"/>
    <m/>
    <m/>
    <m/>
    <m/>
    <m/>
  </r>
  <r>
    <s v="P-MAG-01"/>
    <s v="GONIÔMETRO "/>
    <s v="Goniômetro (Transferidor de grau) 0 A 180°"/>
    <s v="KINGTOOLS"/>
    <s v="IN7800"/>
    <s v="n/a"/>
    <x v="2"/>
    <m/>
    <m/>
    <s v="A-3/G-5"/>
    <m/>
    <s v="2135/25"/>
    <x v="0"/>
    <d v="2025-09-30T00:00:00"/>
    <d v="2026-09-30T00:00:00"/>
    <m/>
    <m/>
    <m/>
    <m/>
    <m/>
  </r>
  <r>
    <s v="P-MAG-02"/>
    <s v="GONIÔMETRO "/>
    <s v="Goniômetro 0 A 90°"/>
    <s v="DIGIMESS"/>
    <s v="B185034"/>
    <s v="n/a"/>
    <x v="1"/>
    <m/>
    <m/>
    <s v="A-3/G-5"/>
    <m/>
    <s v="1011/25"/>
    <x v="0"/>
    <d v="2025-05-21T00:00:00"/>
    <d v="2026-05-21T00:00:00"/>
    <m/>
    <m/>
    <m/>
    <m/>
    <m/>
  </r>
  <r>
    <s v="P-MAN-01"/>
    <s v="Manômetro"/>
    <s v="Manômetro 0 - 17 bar (250 psi) CLASSE A"/>
    <s v="TUROTEST"/>
    <m/>
    <m/>
    <x v="4"/>
    <m/>
    <s v="ACC 001-25 reprovado"/>
    <s v="-"/>
    <s v="016-25"/>
    <s v="08-P250516"/>
    <x v="4"/>
    <m/>
    <s v=""/>
    <m/>
    <m/>
    <m/>
    <s v="15/01/2026"/>
    <m/>
  </r>
  <r>
    <s v="P-MAN-02"/>
    <s v="Manômetro"/>
    <s v="Manômetro 0 - 14 kgf/cm² (199,127 psi) CLASSE A"/>
    <m/>
    <m/>
    <m/>
    <x v="4"/>
    <m/>
    <s v="ACC 002-25 reprovado"/>
    <s v="-"/>
    <s v="017-25"/>
    <s v="08-P250517"/>
    <x v="4"/>
    <m/>
    <s v=""/>
    <m/>
    <m/>
    <m/>
    <s v="15/01/2026"/>
    <m/>
  </r>
  <r>
    <s v="P-MAN-03"/>
    <s v="Manômetro"/>
    <s v="Manômetro 0 - 500 PSI CLASSE A"/>
    <s v="FAMABRAS"/>
    <n v="758189"/>
    <m/>
    <x v="4"/>
    <m/>
    <m/>
    <s v="-"/>
    <s v="018-25"/>
    <s v="08-P250518"/>
    <x v="0"/>
    <d v="2025-05-24T00:00:00"/>
    <d v="2026-05-24T00:00:00"/>
    <m/>
    <m/>
    <m/>
    <m/>
    <m/>
  </r>
  <r>
    <s v="P-MAN-04"/>
    <s v="Manômetro"/>
    <s v="Manômetro 0-1500 PSI rosca pino 1/4&quot; NPT"/>
    <m/>
    <m/>
    <m/>
    <x v="1"/>
    <m/>
    <m/>
    <s v="A-3/P-2"/>
    <m/>
    <m/>
    <x v="1"/>
    <m/>
    <s v=""/>
    <m/>
    <m/>
    <m/>
    <m/>
    <m/>
  </r>
  <r>
    <s v="P-MAN-05"/>
    <s v="Manômetro"/>
    <s v="Manômetro 0 - 6000 lbf/pol²"/>
    <s v="WTS"/>
    <n v="9276"/>
    <m/>
    <x v="1"/>
    <m/>
    <s v="não encontrado"/>
    <m/>
    <m/>
    <s v="1984/24"/>
    <x v="3"/>
    <d v="2024-07-31T00:00:00"/>
    <d v="2025-07-31T00:00:00"/>
    <m/>
    <m/>
    <m/>
    <m/>
    <m/>
  </r>
  <r>
    <s v="P-MAN-06"/>
    <s v="Manômetro"/>
    <s v="Manômetro 0-200 PSI"/>
    <s v="FAMABRAS"/>
    <n v="768669"/>
    <m/>
    <x v="1"/>
    <m/>
    <s v="não encontrado"/>
    <m/>
    <m/>
    <m/>
    <x v="3"/>
    <m/>
    <s v=""/>
    <m/>
    <d v="2025-09-01T00:00:00"/>
    <m/>
    <m/>
    <m/>
  </r>
  <r>
    <s v="P-MAN-07"/>
    <s v="Manômetro"/>
    <s v="Manometo 3000 PSI com ponteiro 1/4&quot; NPT Pino rosca horizontal"/>
    <s v="ASCHCROFT"/>
    <m/>
    <s v="50 PSI"/>
    <x v="1"/>
    <m/>
    <m/>
    <s v="A-3/P-2"/>
    <m/>
    <m/>
    <x v="1"/>
    <m/>
    <m/>
    <m/>
    <m/>
    <m/>
    <m/>
    <m/>
  </r>
  <r>
    <s v="P-MAN-08"/>
    <s v="Manômetro"/>
    <s v="Manômetro 0-30000 PSI"/>
    <s v="WARING"/>
    <s v="15903274/2"/>
    <s v="500 PSI"/>
    <x v="5"/>
    <m/>
    <s v="SEM TAG NO INSTRUMENTO- BANKER"/>
    <s v="-"/>
    <m/>
    <s v="0053/24"/>
    <x v="6"/>
    <d v="2024-01-16T00:00:00"/>
    <d v="2025-01-15T00:00:00"/>
    <m/>
    <m/>
    <m/>
    <m/>
    <m/>
  </r>
  <r>
    <s v="P-MAN-09"/>
    <s v="Manômetro"/>
    <s v="Manômetro 0 - 6000 PSI"/>
    <m/>
    <s v="CI:7308674"/>
    <m/>
    <x v="6"/>
    <m/>
    <s v="DBP 090-2025"/>
    <m/>
    <m/>
    <s v="1345-24"/>
    <x v="1"/>
    <d v="2024-05-16T00:00:00"/>
    <d v="2025-05-16T00:00:00"/>
    <m/>
    <m/>
    <m/>
    <m/>
    <m/>
  </r>
  <r>
    <s v="P-MAN-10"/>
    <s v="Manômetro"/>
    <s v="Manômetro 0 - 6000 PSI"/>
    <m/>
    <n v="1694996"/>
    <m/>
    <x v="6"/>
    <m/>
    <s v="DBP 090-2025"/>
    <m/>
    <m/>
    <s v="1344-24"/>
    <x v="1"/>
    <d v="2024-05-16T00:00:00"/>
    <d v="2025-05-16T00:00:00"/>
    <m/>
    <m/>
    <m/>
    <m/>
    <m/>
  </r>
  <r>
    <s v="P-MAN-11"/>
    <s v="Manômetro"/>
    <s v="Manômetro 0 - 5000 PSI"/>
    <m/>
    <s v="CI:9598719"/>
    <m/>
    <x v="6"/>
    <m/>
    <s v="DBP 090-2025"/>
    <m/>
    <m/>
    <s v="1346-24"/>
    <x v="1"/>
    <d v="2024-05-16T00:00:00"/>
    <d v="2025-05-16T00:00:00"/>
    <m/>
    <m/>
    <m/>
    <m/>
    <m/>
  </r>
  <r>
    <s v="P-MAN-12"/>
    <s v="Manômetro"/>
    <s v="Manômetro 0 - 3000 PSI Classe A1 rosca pino 1/4&quot; NPT"/>
    <s v="WIKA"/>
    <s v="2R01108"/>
    <s v="50 PSI"/>
    <x v="1"/>
    <m/>
    <m/>
    <s v="A-3/P-2"/>
    <m/>
    <s v="1702/25"/>
    <x v="0"/>
    <d v="2025-08-18T00:00:00"/>
    <d v="2026-02-18T00:00:00"/>
    <m/>
    <d v="2025-08-06T00:00:00"/>
    <m/>
    <m/>
    <m/>
  </r>
  <r>
    <s v="P-MAN-13"/>
    <s v="Manômetro"/>
    <s v="Manômetro 0 - 6000 psi Classe A"/>
    <s v="WIKA"/>
    <n v="107244"/>
    <s v="50 PSI"/>
    <x v="6"/>
    <m/>
    <s v="ACC 004-25"/>
    <s v="A-3/P-2"/>
    <m/>
    <s v="1701/25"/>
    <x v="0"/>
    <d v="2025-08-18T00:00:00"/>
    <d v="2026-02-18T00:00:00"/>
    <m/>
    <d v="2026-02-10T00:00:00"/>
    <m/>
    <m/>
    <m/>
  </r>
  <r>
    <s v="P-MAN-14"/>
    <s v="Manômetro"/>
    <s v="Manômetro 0 - 6000 psi Classe A"/>
    <s v="ASHCROFT"/>
    <s v="4033-3100"/>
    <m/>
    <x v="1"/>
    <m/>
    <m/>
    <s v="A-3/P-2"/>
    <m/>
    <s v="1335/25"/>
    <x v="0"/>
    <d v="2025-09-22T00:00:00"/>
    <d v="2026-03-22T00:00:00"/>
    <m/>
    <m/>
    <m/>
    <m/>
    <m/>
  </r>
  <r>
    <s v="P-MAN-15"/>
    <s v="Manômetro"/>
    <s v="Manômetro 0 - 10000 psi"/>
    <s v="WIKA - 233.50.100L"/>
    <s v="8200EZN9"/>
    <m/>
    <x v="6"/>
    <m/>
    <s v="não encontrado"/>
    <s v="-"/>
    <m/>
    <s v="LMP424453/24"/>
    <x v="3"/>
    <d v="2024-04-23T00:00:00"/>
    <d v="2025-04-23T00:00:00"/>
    <m/>
    <m/>
    <m/>
    <m/>
    <m/>
  </r>
  <r>
    <s v="P-MAN-16"/>
    <s v="Manômetro"/>
    <s v="Manômetro 0 - 10000 psi Classe A1"/>
    <s v="WIKA - 233.50.100L"/>
    <s v="8200EZN8"/>
    <s v="100 PSI"/>
    <x v="1"/>
    <m/>
    <s v="ACC 008-25"/>
    <s v="A-3/P-2"/>
    <m/>
    <s v="LMP424452/24"/>
    <x v="0"/>
    <d v="2025-08-18T00:00:00"/>
    <d v="2026-02-18T00:00:00"/>
    <m/>
    <d v="2025-08-06T00:00:00"/>
    <m/>
    <m/>
    <m/>
  </r>
  <r>
    <s v="P-MAN-17"/>
    <s v="Manômetro"/>
    <s v="Manômetro 22000 psi "/>
    <m/>
    <m/>
    <m/>
    <x v="1"/>
    <m/>
    <m/>
    <s v="A-3/P-2"/>
    <m/>
    <m/>
    <x v="4"/>
    <m/>
    <s v=""/>
    <m/>
    <m/>
    <m/>
    <m/>
    <m/>
  </r>
  <r>
    <s v="P-MAN-18"/>
    <s v="Manômetro"/>
    <s v="Manômetro 140 psi"/>
    <m/>
    <m/>
    <m/>
    <x v="6"/>
    <m/>
    <s v="SEM TAG NO INSTRUMENTO- VASOS DE PRESSÃO"/>
    <s v="-"/>
    <m/>
    <m/>
    <x v="1"/>
    <m/>
    <s v=""/>
    <m/>
    <m/>
    <m/>
    <m/>
    <m/>
  </r>
  <r>
    <s v="P-MAN-19"/>
    <s v="Manômetro"/>
    <s v="Manômetro 230 psi"/>
    <m/>
    <m/>
    <m/>
    <x v="6"/>
    <m/>
    <s v="SEM TAG NO INSTRUMENTO- VASOS DE PRESSÃO"/>
    <s v="-"/>
    <m/>
    <m/>
    <x v="1"/>
    <m/>
    <s v=""/>
    <m/>
    <m/>
    <m/>
    <m/>
    <m/>
  </r>
  <r>
    <s v="P-MAN-20"/>
    <s v="Manômetro"/>
    <s v="Manômetro 0-200 PSI classe A rosca pino 1/4&quot; NPT"/>
    <s v="WIKA"/>
    <s v="347674-2"/>
    <s v="2,5 PSI"/>
    <x v="1"/>
    <m/>
    <m/>
    <s v="A-3/P-2"/>
    <m/>
    <m/>
    <x v="6"/>
    <m/>
    <s v=""/>
    <m/>
    <d v="2025-08-06T00:00:00"/>
    <m/>
    <m/>
    <m/>
  </r>
  <r>
    <s v="P-MAN-21"/>
    <s v="Manômetro"/>
    <s v="Manômetro 0 - 10000 psi Classe B rosca pino 1/2&quot; NPT"/>
    <s v="FAMABRAS"/>
    <m/>
    <m/>
    <x v="2"/>
    <m/>
    <m/>
    <s v="A-3/P-2"/>
    <s v="019-25"/>
    <s v="2136/25"/>
    <x v="0"/>
    <d v="2025-09-30T00:00:00"/>
    <d v="2026-03-30T00:00:00"/>
    <m/>
    <m/>
    <m/>
    <m/>
    <m/>
  </r>
  <r>
    <s v="P-MAN-22"/>
    <s v="Manômetro classe A1"/>
    <s v="Manômetro 0-3000 PSI CLASSE A1 rosca pino 1/4&quot; NPT"/>
    <s v="WIKA"/>
    <s v="820009LJ "/>
    <s v="50 PSI"/>
    <x v="1"/>
    <m/>
    <s v="SAIU NO PV 318"/>
    <m/>
    <m/>
    <s v="1703/25"/>
    <x v="0"/>
    <d v="2025-08-18T00:00:00"/>
    <d v="2026-02-18T00:00:00"/>
    <m/>
    <m/>
    <m/>
    <m/>
    <m/>
  </r>
  <r>
    <s v="P-MAN-23"/>
    <s v="Manômetro"/>
    <s v="Manômetro 0-20000 psi"/>
    <m/>
    <m/>
    <m/>
    <x v="1"/>
    <m/>
    <m/>
    <s v="A-3/P-2"/>
    <m/>
    <m/>
    <x v="6"/>
    <m/>
    <s v=""/>
    <m/>
    <d v="2025-08-06T00:00:00"/>
    <m/>
    <m/>
    <m/>
  </r>
  <r>
    <s v="P-MAN-24"/>
    <s v="Manômetro"/>
    <s v="Manômetro 0-3000 PSI CLASSE A1"/>
    <s v="WIKA"/>
    <s v="820009LI"/>
    <s v="50 PSI"/>
    <x v="6"/>
    <m/>
    <s v="BOMBA MANUAL PRÓXIMO AO BANKER"/>
    <s v="-"/>
    <m/>
    <m/>
    <x v="1"/>
    <m/>
    <s v=""/>
    <m/>
    <m/>
    <m/>
    <m/>
    <m/>
  </r>
  <r>
    <s v="P-MCE-06"/>
    <s v="Medidor de Conicidade Rosca Externa"/>
    <s v="Medidor de conicidadedas Roscas externa com relógio Comparador"/>
    <s v="ADIBAK"/>
    <s v="0001351/1"/>
    <s v="0,0005&quot;"/>
    <x v="1"/>
    <m/>
    <m/>
    <s v="A-5/G-4"/>
    <m/>
    <s v="3D0XS525"/>
    <x v="0"/>
    <d v="2025-05-07T00:00:00"/>
    <d v="2026-05-07T00:00:00"/>
    <m/>
    <m/>
    <m/>
    <m/>
    <m/>
  </r>
  <r>
    <s v="P-MCI-05"/>
    <s v="Medidor de Conicidade Rosca Interna"/>
    <s v="Medidor de conicidadedas Roscas Interna com relógio Comparador"/>
    <s v="ADIBAK"/>
    <s v="0001352/1"/>
    <s v="0,0005&quot;"/>
    <x v="1"/>
    <m/>
    <m/>
    <s v="A-5/G-4"/>
    <m/>
    <s v="SP6C8D25 / JJ189J25"/>
    <x v="0"/>
    <d v="2025-05-08T00:00:00"/>
    <d v="2026-05-08T00:00:00"/>
    <m/>
    <m/>
    <m/>
    <m/>
    <m/>
  </r>
  <r>
    <s v="P-MCP-01"/>
    <s v="Micrômetro de Profundiade"/>
    <s v="Micrômetro Para medir profundidade"/>
    <s v="MITUTOYO"/>
    <n v="802799"/>
    <s v="0,01mm"/>
    <x v="1"/>
    <m/>
    <m/>
    <s v="A-2/G-3"/>
    <m/>
    <s v="1813/24"/>
    <x v="0"/>
    <d v="2024-07-09T00:00:00"/>
    <d v="2025-07-09T00:00:00"/>
    <m/>
    <m/>
    <m/>
    <m/>
    <m/>
  </r>
  <r>
    <s v="P-MDC-01"/>
    <s v="Medidor de Diâmetro Crista"/>
    <s v="Medidor de Diâmetro Crista e selo-corpo Interno / Externo"/>
    <s v="SOLESA"/>
    <s v="06-016"/>
    <m/>
    <x v="1"/>
    <m/>
    <m/>
    <s v="A-5/G-6"/>
    <m/>
    <m/>
    <x v="1"/>
    <m/>
    <s v=""/>
    <m/>
    <m/>
    <m/>
    <m/>
    <m/>
  </r>
  <r>
    <s v="P-MDC-02"/>
    <s v="Medidor de Diâmetro Crista"/>
    <s v="Medidor de Diâmetro Crista e selo-corpo Interno / Externo"/>
    <s v="SOLESA"/>
    <s v="06-016"/>
    <m/>
    <x v="1"/>
    <m/>
    <m/>
    <s v="A-5/G-6"/>
    <m/>
    <s v="0701.22"/>
    <x v="1"/>
    <m/>
    <s v=""/>
    <m/>
    <m/>
    <m/>
    <m/>
    <m/>
  </r>
  <r>
    <s v="P-MDC-03"/>
    <s v="Medidor de Diâmetro Crista"/>
    <s v="Medidor de Diâmetro Crista e selo-corpo Interno / Externo"/>
    <s v="SOLESA"/>
    <m/>
    <m/>
    <x v="1"/>
    <m/>
    <m/>
    <s v="A-5/G-6"/>
    <m/>
    <m/>
    <x v="1"/>
    <m/>
    <s v=""/>
    <m/>
    <m/>
    <m/>
    <m/>
    <m/>
  </r>
  <r>
    <s v="P-MDC-04"/>
    <s v="Medidor de Diâmetro Crista"/>
    <s v="Medidor de Diâmetro Crista e selo-corpo Interno / Externo"/>
    <s v="SOLESA"/>
    <m/>
    <m/>
    <x v="1"/>
    <m/>
    <m/>
    <s v="A-5/ G-6"/>
    <m/>
    <m/>
    <x v="1"/>
    <m/>
    <s v=""/>
    <m/>
    <m/>
    <m/>
    <m/>
    <m/>
  </r>
  <r>
    <s v="P-MDC-05"/>
    <s v="Medidor de Diâmetro Crista"/>
    <s v="Medidor de Diâmetro Crista e selo-corpo Interno / Externo"/>
    <s v="SOLESA"/>
    <m/>
    <m/>
    <x v="1"/>
    <m/>
    <m/>
    <s v="A-5/G-2"/>
    <m/>
    <s v="NWKG6725"/>
    <x v="0"/>
    <d v="2025-05-07T00:00:00"/>
    <d v="2026-05-07T00:00:00"/>
    <m/>
    <m/>
    <m/>
    <m/>
    <m/>
  </r>
  <r>
    <s v="P-MDC-06"/>
    <s v="Medidor de Diâmetro Crista"/>
    <s v="Medidor de Diâmetro Crista e selo-corpo Interno / Externo"/>
    <s v="SOLESA"/>
    <m/>
    <m/>
    <x v="1"/>
    <m/>
    <m/>
    <s v="A-5/G-2"/>
    <m/>
    <s v="957U4M25/ 2AB89924"/>
    <x v="0"/>
    <d v="2025-05-07T00:00:00"/>
    <d v="2026-05-07T00:00:00"/>
    <m/>
    <m/>
    <m/>
    <m/>
    <m/>
  </r>
  <r>
    <s v="P-MDC-07"/>
    <s v="Medidor de Diâmetro Crista"/>
    <s v="Medidor de Diâmetro Crista e selo-corpo Interno / Externo"/>
    <s v="GAGEMAKER"/>
    <s v="82.020.15.00.26.00"/>
    <m/>
    <x v="1"/>
    <m/>
    <m/>
    <s v="A-5/G-2"/>
    <m/>
    <s v="F6JG7525 / "/>
    <x v="0"/>
    <d v="2025-05-08T00:00:00"/>
    <d v="2026-05-08T00:00:00"/>
    <m/>
    <m/>
    <m/>
    <m/>
    <m/>
  </r>
  <r>
    <s v="P-MDG-01"/>
    <s v="Medidor do diâmetro do canal"/>
    <s v="Medidor de Diâmetro Do Groove por API 6A BX-1000"/>
    <s v="Gagemaker"/>
    <s v="S/N"/>
    <m/>
    <x v="1"/>
    <m/>
    <m/>
    <s v="A-2/G-4"/>
    <m/>
    <s v="K5Q7I524"/>
    <x v="1"/>
    <d v="2024-03-25T00:00:00"/>
    <d v="2025-03-25T00:00:00"/>
    <m/>
    <m/>
    <m/>
    <m/>
    <m/>
  </r>
  <r>
    <s v="P-MDG-02"/>
    <s v="Medidor do diâmetro do canal"/>
    <s v="Medidor de Diâmetro Do Groove por API 6A BX-1000"/>
    <s v="Gagemaker"/>
    <s v="S/N"/>
    <m/>
    <x v="1"/>
    <m/>
    <m/>
    <s v="A-2/G-4"/>
    <m/>
    <m/>
    <x v="1"/>
    <m/>
    <s v=""/>
    <m/>
    <m/>
    <m/>
    <m/>
    <m/>
  </r>
  <r>
    <s v="P-MDM-01"/>
    <s v="MESA DE DESEMPENO"/>
    <s v="MESA DE DESEMPENO"/>
    <s v="STARRET"/>
    <m/>
    <m/>
    <x v="1"/>
    <m/>
    <m/>
    <s v="SM"/>
    <m/>
    <m/>
    <x v="2"/>
    <m/>
    <s v=""/>
    <m/>
    <m/>
    <m/>
    <m/>
    <m/>
  </r>
  <r>
    <s v="P-ME-01"/>
    <s v="Medidor de espessura"/>
    <s v="ME-240"/>
    <s v="INSTRUTHERM"/>
    <s v="N280015"/>
    <m/>
    <x v="1"/>
    <m/>
    <m/>
    <s v="A-5/P-2"/>
    <m/>
    <m/>
    <x v="1"/>
    <m/>
    <s v=""/>
    <m/>
    <m/>
    <m/>
    <m/>
    <m/>
  </r>
  <r>
    <s v="P-ME-02"/>
    <s v="Medidor de espessura"/>
    <s v="PosiTector Medidor de espessura de Material Não magnetico   6000"/>
    <s v="Defelsko"/>
    <n v="762964"/>
    <m/>
    <x v="1"/>
    <m/>
    <m/>
    <d v="1900-01-01T00:00:00"/>
    <m/>
    <m/>
    <x v="1"/>
    <m/>
    <s v=""/>
    <m/>
    <m/>
    <m/>
    <m/>
    <m/>
  </r>
  <r>
    <s v="P-ME-03"/>
    <s v="Medidor de espessura"/>
    <s v="Medidor de Espessura por ultrassom digital"/>
    <s v="Olympus "/>
    <n v="121042008"/>
    <m/>
    <x v="1"/>
    <m/>
    <m/>
    <m/>
    <m/>
    <s v="A-4/P-1"/>
    <x v="1"/>
    <m/>
    <s v=""/>
    <m/>
    <m/>
    <m/>
    <m/>
    <m/>
  </r>
  <r>
    <s v="P-ME-04"/>
    <s v="Medidor de espessura"/>
    <s v="Panametrics-ndt mg2-dl (por ultrassom)"/>
    <s v="Olympus "/>
    <n v="121041908"/>
    <m/>
    <x v="1"/>
    <m/>
    <m/>
    <s v="A-4/P-2"/>
    <m/>
    <m/>
    <x v="1"/>
    <m/>
    <s v=""/>
    <m/>
    <m/>
    <m/>
    <m/>
    <m/>
  </r>
  <r>
    <s v="P-MI-01"/>
    <s v="Micrômetro Externo"/>
    <s v="Micrômetro 25 - 50 mm "/>
    <s v="n/a"/>
    <s v="n/a"/>
    <s v="0.01 mm"/>
    <x v="1"/>
    <m/>
    <m/>
    <s v="A-2/G-2"/>
    <m/>
    <s v="0093-25"/>
    <x v="0"/>
    <d v="2025-01-17T00:00:00"/>
    <d v="2026-01-17T00:00:00"/>
    <m/>
    <m/>
    <m/>
    <m/>
    <m/>
  </r>
  <r>
    <s v="P-MI-02"/>
    <s v="Micrômetro Externo"/>
    <s v="Micrômetro 50 - 75 mm "/>
    <s v="n/a"/>
    <s v="n/a"/>
    <s v="0.01 mm"/>
    <x v="1"/>
    <m/>
    <m/>
    <s v="A-2/G-2"/>
    <m/>
    <s v="0093-25"/>
    <x v="0"/>
    <d v="2025-01-17T00:00:00"/>
    <d v="2026-01-17T00:00:00"/>
    <m/>
    <m/>
    <m/>
    <m/>
    <m/>
  </r>
  <r>
    <s v="P-MI-03"/>
    <s v="Micrômetro Externo"/>
    <s v="Micrômetro 75 - 100 mm "/>
    <s v="DIGIMESS"/>
    <s v="CAV 0610/22"/>
    <s v="0.01 mm"/>
    <x v="1"/>
    <m/>
    <m/>
    <s v="A-2/G-2"/>
    <m/>
    <s v="0091-25"/>
    <x v="0"/>
    <d v="2025-01-17T00:00:00"/>
    <d v="2026-01-17T00:00:00"/>
    <m/>
    <m/>
    <m/>
    <m/>
    <m/>
  </r>
  <r>
    <s v="P-MI-04"/>
    <s v="Micrômetro Externo"/>
    <s v="Micrômetro 100 - 125 mm "/>
    <s v="n/a"/>
    <s v="n/a"/>
    <s v="0.01 mm"/>
    <x v="1"/>
    <m/>
    <m/>
    <s v="A-2/G-2"/>
    <m/>
    <s v="0090-25"/>
    <x v="0"/>
    <d v="2025-01-17T00:00:00"/>
    <d v="2026-01-17T00:00:00"/>
    <m/>
    <m/>
    <m/>
    <m/>
    <m/>
  </r>
  <r>
    <s v="P-MI-05"/>
    <s v="Micrômetro Externo"/>
    <s v="Micrômetro 125 - 150 mm"/>
    <s v="n/a"/>
    <s v="n/a"/>
    <s v="0.01 mm"/>
    <x v="1"/>
    <m/>
    <m/>
    <s v="A-2/G-2"/>
    <m/>
    <s v="0089-25"/>
    <x v="0"/>
    <d v="2025-01-17T00:00:00"/>
    <d v="2026-01-17T00:00:00"/>
    <m/>
    <m/>
    <m/>
    <m/>
    <m/>
  </r>
  <r>
    <s v="P-MI-06"/>
    <s v="Micrômetro Externo"/>
    <s v="Micrômetro 150 - 175 mm"/>
    <s v="n/a"/>
    <s v="n/a"/>
    <s v="0.01 mm"/>
    <x v="1"/>
    <m/>
    <m/>
    <s v="A-2/G-2"/>
    <m/>
    <s v="0088-25"/>
    <x v="0"/>
    <d v="2025-01-17T00:00:00"/>
    <d v="2026-01-17T00:00:00"/>
    <m/>
    <m/>
    <m/>
    <m/>
    <m/>
  </r>
  <r>
    <s v="P-MI-07"/>
    <s v="Micrômetro Externo"/>
    <s v="Micrômetro 175 - 200 mm "/>
    <s v="n/a"/>
    <s v="n/a"/>
    <s v="0.01 mm"/>
    <x v="1"/>
    <m/>
    <m/>
    <s v="A-5/G-5"/>
    <m/>
    <s v="1339/23"/>
    <x v="5"/>
    <d v="2023-06-19T00:00:00"/>
    <d v="2024-06-18T00:00:00"/>
    <m/>
    <m/>
    <m/>
    <d v="2025-10-01T00:00:00"/>
    <m/>
  </r>
  <r>
    <s v="P-MI-08"/>
    <s v="Micrômetro Externo"/>
    <s v="Micrômetro 250 - 275 mm"/>
    <s v="SHAN"/>
    <s v="J 00499"/>
    <s v="0.01 mm"/>
    <x v="1"/>
    <m/>
    <m/>
    <s v="A-2/G-3"/>
    <m/>
    <s v="1818/24"/>
    <x v="0"/>
    <d v="2024-07-09T00:00:00"/>
    <d v="2025-07-09T00:00:00"/>
    <m/>
    <m/>
    <m/>
    <m/>
    <m/>
  </r>
  <r>
    <s v="P-MI-09"/>
    <s v="Micrômetro Externo"/>
    <s v="Micrômetro 275 - 300 mm x 0,01"/>
    <s v="n/a"/>
    <s v="n/a"/>
    <s v="0.01 mm"/>
    <x v="1"/>
    <m/>
    <m/>
    <s v="A-2/G-3"/>
    <m/>
    <s v="1819/24"/>
    <x v="0"/>
    <d v="2024-07-09T00:00:00"/>
    <d v="2025-07-09T00:00:00"/>
    <m/>
    <m/>
    <m/>
    <m/>
    <m/>
  </r>
  <r>
    <s v="P-MI-10"/>
    <s v="Micrômetro Externo"/>
    <s v="Micrômetro 225 - 250 mm x 0,01"/>
    <s v="n/a"/>
    <s v="n/a"/>
    <s v="0.01 mm"/>
    <x v="1"/>
    <m/>
    <m/>
    <s v="A-2/G-1"/>
    <m/>
    <s v="0087-25"/>
    <x v="0"/>
    <d v="2025-01-17T00:00:00"/>
    <d v="2026-01-17T00:00:00"/>
    <m/>
    <m/>
    <m/>
    <m/>
    <m/>
  </r>
  <r>
    <s v="P-MI-11"/>
    <s v="Micrômetro Externo"/>
    <s v="Micrômetro 200 - 225 mm x 0,01"/>
    <s v="KING TOOLS"/>
    <s v="n/a"/>
    <s v="0.01 mm"/>
    <x v="1"/>
    <m/>
    <m/>
    <s v="A-2/G-1"/>
    <m/>
    <s v="0086-25"/>
    <x v="0"/>
    <d v="2025-01-17T00:00:00"/>
    <d v="2026-01-17T00:00:00"/>
    <m/>
    <m/>
    <m/>
    <m/>
    <m/>
  </r>
  <r>
    <s v="P-MI-12"/>
    <s v="Micrômetro Externo"/>
    <s v="Micrômetro 175-200 mm"/>
    <s v="Metro Tokyo"/>
    <n v="659803"/>
    <s v="0,01 mm"/>
    <x v="1"/>
    <m/>
    <m/>
    <s v="A-2/G-1"/>
    <m/>
    <s v="4007-0003"/>
    <x v="0"/>
    <d v="2025-09-23T00:00:00"/>
    <d v="2026-03-22T00:00:00"/>
    <m/>
    <m/>
    <m/>
    <m/>
    <m/>
  </r>
  <r>
    <s v="P-MI-18"/>
    <s v="Micrômetro Externo"/>
    <s v="0 - 150 mm  (Intercambiável)"/>
    <s v="MITUTOYO"/>
    <s v="104-135"/>
    <s v="0.01 mm"/>
    <x v="1"/>
    <d v="2025-07-08T10:00:00"/>
    <s v="ESTÁ COM USINAGEM"/>
    <s v="-"/>
    <m/>
    <s v="3111-23"/>
    <x v="1"/>
    <d v="2023-11-30T00:00:00"/>
    <d v="2024-11-29T00:00:00"/>
    <m/>
    <d v="2025-09-01T00:00:00"/>
    <m/>
    <m/>
    <m/>
  </r>
  <r>
    <s v="P-MII-01"/>
    <s v="Micrômetro Interno"/>
    <s v="Micrometro Interno de 50-600 mm 0.01 mm"/>
    <s v="DIGIMESS"/>
    <n v="151295647"/>
    <m/>
    <x v="1"/>
    <m/>
    <m/>
    <s v="A-2/G-1"/>
    <m/>
    <s v="1812/24"/>
    <x v="0"/>
    <s v="09/07/2024"/>
    <d v="2025-07-09T00:00:00"/>
    <m/>
    <m/>
    <m/>
    <m/>
    <m/>
  </r>
  <r>
    <s v="P-MII-02"/>
    <s v="Micrômetro Interno"/>
    <s v="Micrometro Interno de 200-2000 mm 0.0            01 mm"/>
    <m/>
    <m/>
    <m/>
    <x v="1"/>
    <m/>
    <m/>
    <s v="A-2/G-1"/>
    <m/>
    <m/>
    <x v="1"/>
    <m/>
    <s v=""/>
    <m/>
    <d v="2025-10-01T00:00:00"/>
    <m/>
    <m/>
    <m/>
  </r>
  <r>
    <s v="P-MLUV-01"/>
    <s v="Radiômetro"/>
    <s v="Radiômetro, medidor de luz ultra violeta (luz negra)"/>
    <s v="CEL-MAN"/>
    <s v="ST-513"/>
    <m/>
    <x v="1"/>
    <m/>
    <m/>
    <s v="A-4/P-1"/>
    <m/>
    <m/>
    <x v="1"/>
    <m/>
    <s v=""/>
    <m/>
    <m/>
    <m/>
    <m/>
    <m/>
  </r>
  <r>
    <s v="P-MP-01"/>
    <s v="Medidor de Profundidade"/>
    <s v="Medidor de Profundidade 10 voltas "/>
    <s v="Mitutoyo"/>
    <s v="0001726"/>
    <s v="0,01 mm"/>
    <x v="1"/>
    <m/>
    <m/>
    <s v="A-4/G-2"/>
    <m/>
    <s v="1013/25"/>
    <x v="0"/>
    <d v="2025-05-21T00:00:00"/>
    <d v="2026-05-21T00:00:00"/>
    <m/>
    <m/>
    <m/>
    <m/>
    <m/>
  </r>
  <r>
    <s v="P-MPH-01"/>
    <s v="Mdidor de pH"/>
    <s v="Instrumento para medir pH (medidor de pH)"/>
    <s v="AKSO"/>
    <s v="AKCQ0620S"/>
    <m/>
    <x v="1"/>
    <m/>
    <m/>
    <s v="A-4/P-3"/>
    <m/>
    <m/>
    <x v="2"/>
    <m/>
    <s v=""/>
    <m/>
    <m/>
    <m/>
    <m/>
    <m/>
  </r>
  <r>
    <s v="P-MPR-04"/>
    <s v="Medidor de Passo da Rosca"/>
    <s v="Medidor de passo da Rosca com divisão de 5/16 &quot;"/>
    <s v="Gagemaker"/>
    <s v="M80-0403"/>
    <s v="0.0005&quot;"/>
    <x v="1"/>
    <m/>
    <m/>
    <s v="A-5/G-1"/>
    <m/>
    <s v="IB8FE925"/>
    <x v="0"/>
    <d v="2025-05-07T00:00:00"/>
    <d v="2026-05-07T00:00:00"/>
    <m/>
    <m/>
    <m/>
    <m/>
    <m/>
  </r>
  <r>
    <s v="P-MRA-01"/>
    <s v="Medidor de Interno com Relógio Analógico  "/>
    <s v="55 - 153 mm"/>
    <s v="Insize"/>
    <s v="2B03804"/>
    <s v="55 - 153 mm"/>
    <x v="1"/>
    <d v="2025-07-08T10:00:00"/>
    <s v="ESTÁ COM USINAGEM"/>
    <s v="-"/>
    <m/>
    <s v="0051/23"/>
    <x v="0"/>
    <d v="2024-08-16T00:00:00"/>
    <d v="2025-08-16T00:00:00"/>
    <m/>
    <m/>
    <m/>
    <m/>
    <m/>
  </r>
  <r>
    <s v="P-MRA-02"/>
    <s v="Medidor de Interno com Relógio Analógico  "/>
    <s v="15 - 35 mm "/>
    <s v="DIGIMESS"/>
    <s v="A310321"/>
    <s v="15 - 35 mm"/>
    <x v="1"/>
    <m/>
    <m/>
    <s v="A-3/G-1"/>
    <m/>
    <s v="0800/25"/>
    <x v="0"/>
    <d v="2025-04-29T00:00:00"/>
    <d v="2026-04-29T00:00:00"/>
    <m/>
    <m/>
    <m/>
    <m/>
    <m/>
  </r>
  <r>
    <s v="P-MUT-01"/>
    <s v="Multimetro"/>
    <s v="Multímetro Digital 1000/1000V (AC/DC) "/>
    <s v="FLUKE "/>
    <s v="R3:22020943"/>
    <m/>
    <x v="7"/>
    <m/>
    <m/>
    <s v="A-5/P-2"/>
    <m/>
    <m/>
    <x v="2"/>
    <m/>
    <s v=""/>
    <m/>
    <m/>
    <m/>
    <m/>
    <m/>
  </r>
  <r>
    <s v="P-PAQ-01"/>
    <s v="Paquímetro analogico "/>
    <s v="Analogico 8&quot; - 200 mm "/>
    <s v="MITUTOYO"/>
    <m/>
    <s v="0,001&quot;/0,02mm"/>
    <x v="8"/>
    <m/>
    <m/>
    <s v="-"/>
    <s v="001-25"/>
    <s v="0097-25"/>
    <x v="0"/>
    <d v="2025-01-16T00:00:00"/>
    <d v="2026-01-16T00:00:00"/>
    <m/>
    <m/>
    <m/>
    <m/>
    <m/>
  </r>
  <r>
    <s v="P-PAQ-02"/>
    <s v="Paquímetro Digital "/>
    <s v="Digital - 300 mm - IP54"/>
    <s v="DIGIMESS"/>
    <s v="n/a"/>
    <s v="0,01 mm"/>
    <x v="9"/>
    <m/>
    <s v="ACC 009-25"/>
    <s v="-"/>
    <s v="002-25"/>
    <s v="1919/25"/>
    <x v="0"/>
    <d v="2025-09-01T00:00:00"/>
    <d v="2026-03-01T00:00:00"/>
    <m/>
    <d v="2026-02-15T00:00:00"/>
    <m/>
    <m/>
    <m/>
  </r>
  <r>
    <s v="P-PAQ-03"/>
    <s v="Paquímetro analogico "/>
    <s v="Analógico - 20&quot; / 500 mm"/>
    <s v="DIGIMESS"/>
    <s v="n/a"/>
    <s v="0,001&quot;/0,02mm"/>
    <x v="1"/>
    <m/>
    <m/>
    <s v="A-4/G-1"/>
    <m/>
    <s v="0807/25"/>
    <x v="0"/>
    <d v="2025-04-28T00:00:00"/>
    <d v="2026-04-28T00:00:00"/>
    <m/>
    <m/>
    <m/>
    <m/>
    <m/>
  </r>
  <r>
    <s v="P-PAQ-04"/>
    <s v="Paquímetro analogico "/>
    <s v="Analógico - 24&quot; / 600 mm"/>
    <s v="SHAN"/>
    <s v="G00698"/>
    <s v="1/128&quot; / 0,05mm"/>
    <x v="1"/>
    <m/>
    <m/>
    <s v="A-4/G-1"/>
    <s v="RAI 005-25"/>
    <s v="0361/24"/>
    <x v="4"/>
    <d v="2024-02-27T00:00:00"/>
    <d v="2025-02-26T00:00:00"/>
    <m/>
    <m/>
    <m/>
    <d v="2025-09-01T00:00:00"/>
    <m/>
  </r>
  <r>
    <s v="P-PAQ-05"/>
    <s v="Paquímetro analogico "/>
    <s v="Analógico - 8&quot; / 200 mm"/>
    <s v="MITUTOYO"/>
    <n v="20814680"/>
    <s v="1/128&quot; / 0,05mm"/>
    <x v="2"/>
    <m/>
    <m/>
    <s v="-"/>
    <m/>
    <s v="1920/25"/>
    <x v="0"/>
    <d v="2025-09-01T00:00:00"/>
    <d v="2026-03-01T00:00:00"/>
    <m/>
    <d v="2026-02-15T00:00:00"/>
    <m/>
    <m/>
    <m/>
  </r>
  <r>
    <s v="P-PAQ-06"/>
    <s v="Paquímetro analogico "/>
    <s v="Analógico - 12&quot; / 300 mm"/>
    <s v="MITUTOYO"/>
    <n v="20814681"/>
    <s v="1/128&quot; / 0,05mm"/>
    <x v="10"/>
    <m/>
    <m/>
    <s v="-"/>
    <s v="003-25"/>
    <s v="0809/25"/>
    <x v="0"/>
    <d v="2025-04-28T00:00:00"/>
    <d v="2026-04-28T00:00:00"/>
    <m/>
    <m/>
    <m/>
    <m/>
    <m/>
  </r>
  <r>
    <s v="P-PAQ-08"/>
    <s v="Paquímetro analogico "/>
    <s v="Analógico - 12&quot; / 300 mm"/>
    <s v="ZAAS"/>
    <m/>
    <s v="1/128&quot; / 0,05mm"/>
    <x v="2"/>
    <m/>
    <s v="não encontrado"/>
    <m/>
    <m/>
    <m/>
    <x v="3"/>
    <m/>
    <s v=""/>
    <m/>
    <m/>
    <m/>
    <m/>
    <m/>
  </r>
  <r>
    <s v="P-PAQ-09"/>
    <s v="Paquímetro analogico "/>
    <s v="Analógico - 12&quot; / 300 mm"/>
    <s v="ZAAS"/>
    <m/>
    <s v="1/128&quot; / 0,05mm"/>
    <x v="2"/>
    <m/>
    <s v="não encontrado"/>
    <m/>
    <m/>
    <m/>
    <x v="3"/>
    <m/>
    <s v=""/>
    <m/>
    <m/>
    <m/>
    <m/>
    <m/>
  </r>
  <r>
    <s v="P-PAQ-10"/>
    <s v="Paquímetro analogico "/>
    <s v="Analógico - 6&quot; / 150 mm"/>
    <s v="MITUTOYO"/>
    <n v="21176020"/>
    <s v="0,001&quot;/0,02mm"/>
    <x v="11"/>
    <m/>
    <m/>
    <s v="-"/>
    <s v="004-25"/>
    <s v="0096-25"/>
    <x v="0"/>
    <d v="2025-01-16T00:00:00"/>
    <d v="2026-01-16T00:00:00"/>
    <m/>
    <m/>
    <m/>
    <m/>
    <m/>
  </r>
  <r>
    <s v="P-PAQ-11"/>
    <s v="Paquímetro analogico "/>
    <s v="Analógico - 12&quot; / 300 mm"/>
    <s v="MITUTOYO"/>
    <n v="20230194"/>
    <s v="0,001&quot;/0,02mm"/>
    <x v="2"/>
    <m/>
    <s v="não encontrado"/>
    <m/>
    <m/>
    <s v="6XP00424"/>
    <x v="3"/>
    <d v="2024-03-22T00:00:00"/>
    <d v="2025-03-22T00:00:00"/>
    <m/>
    <m/>
    <m/>
    <m/>
    <m/>
  </r>
  <r>
    <s v="P-PAQ-12"/>
    <s v="Paquímetro analógico"/>
    <s v="Digital - 12&quot; / 300 mm"/>
    <s v="MITUTOYO"/>
    <n v="17023"/>
    <s v="0,01 mm"/>
    <x v="2"/>
    <m/>
    <m/>
    <s v="-"/>
    <m/>
    <m/>
    <x v="4"/>
    <m/>
    <s v=""/>
    <m/>
    <m/>
    <m/>
    <d v="2025-09-01T00:00:00"/>
    <m/>
  </r>
  <r>
    <s v="P-PAQ-13"/>
    <s v="Paquímetro de Profundidade "/>
    <s v="Analógico de profundidade - 150  mm"/>
    <s v="MITUTOYO"/>
    <m/>
    <s v="0,02 mm"/>
    <x v="1"/>
    <m/>
    <m/>
    <s v="A-4/G-2"/>
    <m/>
    <s v="0096-25"/>
    <x v="0"/>
    <d v="2025-01-16T00:00:00"/>
    <d v="2026-01-16T00:00:00"/>
    <m/>
    <m/>
    <m/>
    <m/>
    <m/>
  </r>
  <r>
    <s v="P-PAQ-14"/>
    <s v="Paquímetro Digital "/>
    <s v="Digital - 12&quot; / 300 mm"/>
    <s v="MITUTOYO"/>
    <n v="17023"/>
    <s v="0,01 mm"/>
    <x v="12"/>
    <m/>
    <m/>
    <s v="-"/>
    <s v="005-25"/>
    <s v="0094-25"/>
    <x v="0"/>
    <d v="2025-01-16T00:00:00"/>
    <d v="2026-01-16T00:00:00"/>
    <m/>
    <m/>
    <m/>
    <m/>
    <m/>
  </r>
  <r>
    <s v="P-PAQ-16"/>
    <s v="Paquímetro analogico "/>
    <s v="Paquímetro Analógico - 12&quot; / 300 mm"/>
    <s v="MITUTOYO"/>
    <n v="21148954"/>
    <m/>
    <x v="13"/>
    <m/>
    <m/>
    <s v="-"/>
    <s v="006-25"/>
    <s v="1833/25"/>
    <x v="0"/>
    <d v="2025-09-22T00:00:00"/>
    <d v="2026-03-22T00:00:00"/>
    <m/>
    <d v="2025-10-01T00:00:00"/>
    <m/>
    <m/>
    <m/>
  </r>
  <r>
    <s v="P-PAQ-17"/>
    <s v="Paquímetro analogico "/>
    <s v="Analógico - 12&quot; / 300 mm"/>
    <s v="MITUTOYO"/>
    <n v="22118468"/>
    <m/>
    <x v="1"/>
    <m/>
    <m/>
    <s v="A-4/G-6"/>
    <s v="RAI 004-25"/>
    <s v="0362/24"/>
    <x v="4"/>
    <d v="2024-02-27T00:00:00"/>
    <d v="2025-02-26T00:00:00"/>
    <m/>
    <d v="2025-10-01T00:00:00"/>
    <m/>
    <d v="2025-09-01T00:00:00"/>
    <m/>
  </r>
  <r>
    <s v="P-PAQ-18"/>
    <s v="Paquímetro Digital "/>
    <s v="Digital - 12&quot; / 300 mm"/>
    <s v="MITUTOYO"/>
    <n v="42723"/>
    <m/>
    <x v="14"/>
    <m/>
    <m/>
    <s v="-"/>
    <s v="007-25"/>
    <s v="2138/25"/>
    <x v="0"/>
    <d v="2025-09-29T00:00:00"/>
    <d v="2026-03-29T00:00:00"/>
    <m/>
    <d v="2025-10-01T00:00:00"/>
    <m/>
    <m/>
    <m/>
  </r>
  <r>
    <s v="P-PAQ-19"/>
    <s v="Paquímetro Digital "/>
    <s v="Digital - 12&quot; / 300 mm"/>
    <s v="DIGIMESS"/>
    <n v="22086271"/>
    <m/>
    <x v="2"/>
    <m/>
    <s v="ACC 023-25"/>
    <s v="-"/>
    <s v="008-25"/>
    <s v="2139/25"/>
    <x v="0"/>
    <d v="2025-09-29T00:00:00"/>
    <d v="2026-03-29T00:00:00"/>
    <m/>
    <m/>
    <m/>
    <m/>
    <m/>
  </r>
  <r>
    <s v="P-PAQ-20"/>
    <s v="Paquímetro Digital "/>
    <s v="Digital - 12&quot; / 300 mm"/>
    <s v="DIGIMESS"/>
    <m/>
    <m/>
    <x v="2"/>
    <m/>
    <m/>
    <s v="-"/>
    <s v="009-25"/>
    <s v="0808/25"/>
    <x v="0"/>
    <d v="2025-04-28T00:00:00"/>
    <d v="2026-04-28T00:00:00"/>
    <m/>
    <m/>
    <m/>
    <m/>
    <m/>
  </r>
  <r>
    <s v="P-PAQ-21"/>
    <s v="Paquímetro analogico "/>
    <s v="Analógico - 12&quot; / 300 mm"/>
    <s v="DIGIMESS"/>
    <n v="21030466"/>
    <m/>
    <x v="2"/>
    <m/>
    <s v="Perdeu o parafuso"/>
    <s v="-"/>
    <s v="010-25"/>
    <s v="1918/25"/>
    <x v="0"/>
    <d v="2025-09-01T00:00:00"/>
    <d v="2026-03-01T00:00:00"/>
    <m/>
    <d v="2026-02-15T00:00:00"/>
    <m/>
    <m/>
    <m/>
  </r>
  <r>
    <s v="P-PAQ-22"/>
    <s v="Paquímetro analogico "/>
    <s v="Analógico - 12&quot; / 300 mm"/>
    <s v="DIGIMESS"/>
    <n v="22093202"/>
    <m/>
    <x v="15"/>
    <m/>
    <s v="não encontrado"/>
    <m/>
    <m/>
    <s v="76035"/>
    <x v="3"/>
    <d v="2023-06-01T00:00:00"/>
    <d v="2024-05-31T00:00:00"/>
    <m/>
    <m/>
    <m/>
    <m/>
    <m/>
  </r>
  <r>
    <s v="P-PAQ-23"/>
    <s v="Paquímetro analogico "/>
    <s v="Analógico - 12&quot; / 300 mm"/>
    <s v="DIGIMESS"/>
    <n v="22093189"/>
    <s v="0,01 mm"/>
    <x v="16"/>
    <m/>
    <m/>
    <s v="-"/>
    <s v="011-25"/>
    <s v="1834/25"/>
    <x v="0"/>
    <d v="2025-09-22T00:00:00"/>
    <d v="2026-03-22T00:00:00"/>
    <m/>
    <d v="2026-03-01T00:00:00"/>
    <m/>
    <m/>
    <m/>
  </r>
  <r>
    <s v="P-PAQ-25"/>
    <s v="Paquímetro Digital "/>
    <s v="Digital - 12&quot; / 300 mm"/>
    <s v="DIGIMESS"/>
    <n v="22096814"/>
    <s v="0,01 mm"/>
    <x v="2"/>
    <d v="2025-08-26T00:00:00"/>
    <s v="Pquimetro com João Amaral_x000a_Paquímetro perdido"/>
    <s v="A-4/G-1"/>
    <s v="012-25"/>
    <s v="1012/25"/>
    <x v="0"/>
    <d v="2025-05-20T00:00:00"/>
    <d v="2026-05-20T00:00:00"/>
    <m/>
    <m/>
    <m/>
    <m/>
    <m/>
  </r>
  <r>
    <s v="P-PAQ-26"/>
    <s v="Paquímetro Digital "/>
    <s v="Digital - 12&quot; / 300 mm"/>
    <s v="MITUTOYO"/>
    <n v="39591"/>
    <m/>
    <x v="2"/>
    <m/>
    <m/>
    <s v="-"/>
    <s v="013-25"/>
    <s v="RAI 006-25"/>
    <x v="4"/>
    <d v="2023-06-01T00:00:00"/>
    <d v="2024-05-31T00:00:00"/>
    <m/>
    <m/>
    <m/>
    <m/>
    <m/>
  </r>
  <r>
    <s v="P-PAQ-27"/>
    <s v="Paquímetro de Profundidade "/>
    <s v="Analógico de profundidade - 300 mm"/>
    <s v="DIGIMESS"/>
    <n v="22062798"/>
    <s v="0,02 mm"/>
    <x v="1"/>
    <m/>
    <m/>
    <s v="A-4/G2"/>
    <m/>
    <s v="2139/25"/>
    <x v="0"/>
    <d v="2025-09-29T00:00:00"/>
    <d v="2026-03-29T00:00:00"/>
    <m/>
    <m/>
    <m/>
    <m/>
    <m/>
  </r>
  <r>
    <s v="P-PAQ-28"/>
    <s v="Paquímetro de Profundidade "/>
    <s v="Paquimetro Analógico de profundidade - 200 mm"/>
    <s v="DIGIMESS"/>
    <n v="7070290"/>
    <s v="0,02mm"/>
    <x v="14"/>
    <m/>
    <m/>
    <s v="-"/>
    <s v="014-25"/>
    <s v="1835/25"/>
    <x v="0"/>
    <d v="2025-09-22T00:00:00"/>
    <d v="2026-03-22T00:00:00"/>
    <m/>
    <d v="2026-03-01T00:00:00"/>
    <m/>
    <m/>
    <m/>
  </r>
  <r>
    <s v="P-PAQ-29"/>
    <s v="Paquímetro analogico "/>
    <s v="Analógico 40&quot; / 1000 mm"/>
    <s v="MITUTOYO"/>
    <m/>
    <n v="0.05"/>
    <x v="1"/>
    <m/>
    <m/>
    <s v="ACIMA DO ARMÁRIO"/>
    <m/>
    <s v="2140/25"/>
    <x v="0"/>
    <d v="2025-09-29T00:00:00"/>
    <d v="2026-03-29T00:00:00"/>
    <m/>
    <d v="2025-11-01T00:00:00"/>
    <m/>
    <m/>
    <m/>
  </r>
  <r>
    <s v="P-POPM-01"/>
    <s v="PADRÃO CAMPO MAGNETICO"/>
    <s v="INDICADOR DE CAMPO MAGNETICO (PM) OCTAGONAL"/>
    <s v="CEL-MAN"/>
    <s v="106240-1"/>
    <m/>
    <x v="17"/>
    <m/>
    <m/>
    <s v="-"/>
    <s v="020-25"/>
    <s v="NA"/>
    <x v="2"/>
    <s v="NA"/>
    <s v="NA"/>
    <m/>
    <m/>
    <m/>
    <m/>
    <m/>
  </r>
  <r>
    <s v="P-PAT-01"/>
    <s v="PROJETOR DE PERFIL"/>
    <s v="PROJETOR DE PERFIL ANALÓGICO"/>
    <s v="NIKON"/>
    <s v="H-14B"/>
    <m/>
    <x v="1"/>
    <m/>
    <m/>
    <s v="SM"/>
    <m/>
    <m/>
    <x v="1"/>
    <m/>
    <s v=""/>
    <m/>
    <m/>
    <m/>
    <m/>
    <m/>
  </r>
  <r>
    <s v="P-PRC-01"/>
    <s v="Medidor de Passo de Rosca"/>
    <s v="Medidor de Passo de Rosca (Pente de Rosca)"/>
    <s v="ZAAS"/>
    <m/>
    <m/>
    <x v="1"/>
    <m/>
    <m/>
    <s v="A-5/G-1"/>
    <m/>
    <m/>
    <x v="2"/>
    <m/>
    <s v=""/>
    <m/>
    <m/>
    <m/>
    <m/>
    <m/>
  </r>
  <r>
    <s v="P-PRC-01"/>
    <s v="Padrão de Rosca Caixa "/>
    <s v="4.1/2&quot; LTC BOX (Rosca Longa Caixa)"/>
    <s v="Gagemaker LP"/>
    <s v="82.020.12.00.23.00"/>
    <m/>
    <x v="1"/>
    <m/>
    <m/>
    <s v="A-5/G-3"/>
    <m/>
    <m/>
    <x v="2"/>
    <m/>
    <s v=""/>
    <m/>
    <m/>
    <m/>
    <m/>
    <m/>
  </r>
  <r>
    <s v="P-PRC-02"/>
    <s v="Medidor de Passo de Rosca"/>
    <s v="Medidor de Passo de Rosca (Pente de Rosca)"/>
    <s v="ZAAS"/>
    <m/>
    <m/>
    <x v="1"/>
    <m/>
    <m/>
    <s v="A-5/G-1"/>
    <m/>
    <m/>
    <x v="2"/>
    <m/>
    <s v=""/>
    <m/>
    <m/>
    <m/>
    <m/>
    <m/>
  </r>
  <r>
    <s v="P-PRC-02"/>
    <s v="Padrão de Rosca Caixa "/>
    <s v="5.1/2&quot; (BTC) BUTTRESS CAIXA"/>
    <s v="Gagemaker LP"/>
    <s v="82.020.07.00.20.00"/>
    <m/>
    <x v="1"/>
    <m/>
    <m/>
    <s v="A-5/G-3"/>
    <m/>
    <m/>
    <x v="2"/>
    <m/>
    <s v=""/>
    <m/>
    <m/>
    <m/>
    <m/>
    <m/>
  </r>
  <r>
    <s v="P-PRC-03"/>
    <s v="Padrão de Rosca Caixa "/>
    <s v="5&quot; (BTC) BUTTRESS CAIXA"/>
    <s v="Gagemaker LP"/>
    <s v="82.020.04.00.94.00"/>
    <m/>
    <x v="1"/>
    <m/>
    <m/>
    <s v="A-5/G-3"/>
    <m/>
    <m/>
    <x v="2"/>
    <m/>
    <s v=""/>
    <m/>
    <m/>
    <m/>
    <m/>
    <m/>
  </r>
  <r>
    <s v="P-PRC-04"/>
    <s v="Padrão de Rosca Caixa "/>
    <s v="5.1/2&quot; STC BOX (Rosca Curta Caixa)"/>
    <s v="Gagemaker LP"/>
    <s v="82.020.07.00.18.00"/>
    <m/>
    <x v="1"/>
    <m/>
    <m/>
    <s v="A-5/G-3"/>
    <m/>
    <m/>
    <x v="2"/>
    <m/>
    <s v=""/>
    <m/>
    <m/>
    <m/>
    <m/>
    <m/>
  </r>
  <r>
    <s v="P-PRC-05"/>
    <s v="Padrão de Rosca Caixa "/>
    <s v="4.1/2&quot; STC BOX (Rosca Curta Caixa)"/>
    <s v="Gagemaker LP"/>
    <s v="82.020.12.00.21.00"/>
    <m/>
    <x v="1"/>
    <m/>
    <m/>
    <s v="A-5/G-3"/>
    <m/>
    <m/>
    <x v="2"/>
    <m/>
    <s v=""/>
    <m/>
    <m/>
    <m/>
    <m/>
    <m/>
  </r>
  <r>
    <s v="P-PRC-06"/>
    <s v="Padrão de Rosca Caixa "/>
    <s v="5.1/2&quot; STC BOX (Rosca Curta Caixa)"/>
    <s v="Gagemaker LP"/>
    <s v="82.020.12.00.25.00"/>
    <m/>
    <x v="1"/>
    <m/>
    <m/>
    <s v="A-5/G-3"/>
    <m/>
    <m/>
    <x v="2"/>
    <m/>
    <s v=""/>
    <m/>
    <m/>
    <m/>
    <m/>
    <m/>
  </r>
  <r>
    <s v="P-PRC-07"/>
    <s v="Padrão de Rosca Caixa "/>
    <s v="7&quot; STC BOX (Rosca Curta Caixa)"/>
    <s v="Gagemaker LP"/>
    <s v="82.020.12.00.29.00"/>
    <m/>
    <x v="1"/>
    <m/>
    <m/>
    <s v="A-5/G-3"/>
    <m/>
    <m/>
    <x v="2"/>
    <m/>
    <s v=""/>
    <m/>
    <m/>
    <m/>
    <m/>
    <m/>
  </r>
  <r>
    <s v="P-PRP-01"/>
    <s v="Padrão de Rosca Pino"/>
    <s v="4.1/2&quot; LTC PIN (Rosca Longa Pino)"/>
    <s v="Gagemaker LP"/>
    <s v="82.020.12.00.22.00"/>
    <m/>
    <x v="1"/>
    <m/>
    <m/>
    <s v="A-5/G-3"/>
    <m/>
    <m/>
    <x v="2"/>
    <m/>
    <s v=""/>
    <m/>
    <m/>
    <m/>
    <m/>
    <m/>
  </r>
  <r>
    <s v="P-PRP-02"/>
    <s v="Padrão de Rosca Pino"/>
    <s v="5.1/2&quot; LTC PIN (Rosca Longa Pino)"/>
    <s v="Gagemaker LP"/>
    <s v="82.020.12.00.26.00"/>
    <m/>
    <x v="1"/>
    <m/>
    <m/>
    <s v="A-5/G-3"/>
    <m/>
    <m/>
    <x v="2"/>
    <m/>
    <s v=""/>
    <m/>
    <m/>
    <m/>
    <m/>
    <m/>
  </r>
  <r>
    <s v="P-PRP-03"/>
    <s v="Padrão de Rosca Pino"/>
    <s v="5.1/2&quot; LTC PIN (Rosca Longa Pino)"/>
    <s v="Gagemaker LP"/>
    <s v="82.020.07.00.17.00"/>
    <m/>
    <x v="1"/>
    <m/>
    <m/>
    <s v="A-5/G-3"/>
    <m/>
    <m/>
    <x v="2"/>
    <m/>
    <s v=""/>
    <m/>
    <m/>
    <m/>
    <m/>
    <m/>
  </r>
  <r>
    <s v="P-PRP-04"/>
    <s v="Padrão de Rosca Pino"/>
    <s v="9.5/8&quot; LTC PIN (Rosca Longa Pino)"/>
    <s v="Gagemaker LP"/>
    <s v="82.020.07.00.27.00"/>
    <m/>
    <x v="1"/>
    <m/>
    <m/>
    <s v="A-5/G-3"/>
    <m/>
    <m/>
    <x v="2"/>
    <m/>
    <s v=""/>
    <m/>
    <m/>
    <m/>
    <m/>
    <m/>
  </r>
  <r>
    <s v="P-PRP-05"/>
    <s v="Padrão de Rosca Pino"/>
    <s v="7&quot; LTC PIN (Rosca Longa Pino)"/>
    <s v="Gagemaker LP"/>
    <s v="82.020.07.00.22.00"/>
    <m/>
    <x v="1"/>
    <m/>
    <m/>
    <s v="A-5/G-3"/>
    <m/>
    <m/>
    <x v="2"/>
    <m/>
    <s v=""/>
    <m/>
    <m/>
    <m/>
    <m/>
    <m/>
  </r>
  <r>
    <s v="P-PRP-06"/>
    <s v="Padrão de Rosca Pino"/>
    <s v="5.1/2&quot; (BTC) BUTTRESS PINO"/>
    <s v="Gagemaker LP"/>
    <s v="82.020.07.00.21.00"/>
    <m/>
    <x v="1"/>
    <m/>
    <m/>
    <s v="A-5/G-3"/>
    <m/>
    <m/>
    <x v="2"/>
    <m/>
    <s v=""/>
    <m/>
    <m/>
    <m/>
    <m/>
    <m/>
  </r>
  <r>
    <s v="P-PRP-07"/>
    <s v="Padrão de Rosca Pino"/>
    <s v="5&quot; (BTC) BUTTRESS PINO"/>
    <s v="Gagemaker LP"/>
    <s v="82.020.04.00.95.00"/>
    <m/>
    <x v="1"/>
    <m/>
    <m/>
    <s v="A-5/G-3"/>
    <m/>
    <m/>
    <x v="2"/>
    <m/>
    <s v=""/>
    <m/>
    <m/>
    <m/>
    <m/>
    <m/>
  </r>
  <r>
    <s v="P-PRP-08"/>
    <s v="Padrão de Rosca Pino"/>
    <s v="7&quot; (BTC) BUTTRESS PINO"/>
    <s v="Gagemaker LP"/>
    <s v="82.020.07.00.26.00"/>
    <m/>
    <x v="1"/>
    <m/>
    <m/>
    <s v="A-5/G-3"/>
    <m/>
    <m/>
    <x v="2"/>
    <m/>
    <s v=""/>
    <m/>
    <m/>
    <m/>
    <m/>
    <m/>
  </r>
  <r>
    <s v="P-PRP-09"/>
    <s v="Padrão de Rosca Pino"/>
    <s v="7&quot; STC PIN (Rosca Curta Pino)"/>
    <s v="Gagemaker LP"/>
    <s v="82.020.07.00.24.00"/>
    <m/>
    <x v="1"/>
    <m/>
    <m/>
    <s v="A-5/G-3"/>
    <m/>
    <m/>
    <x v="2"/>
    <m/>
    <s v=""/>
    <m/>
    <m/>
    <m/>
    <m/>
    <m/>
  </r>
  <r>
    <s v="P-PRP-10"/>
    <s v="Padrão de Rosca Pino"/>
    <s v="4.1/2&quot;  STC PIN (Rosca Curta Pino)"/>
    <s v="Gagemaker LP"/>
    <s v="82.020.12.00.20.00"/>
    <m/>
    <x v="1"/>
    <m/>
    <m/>
    <s v="A-5/G-3"/>
    <m/>
    <m/>
    <x v="2"/>
    <m/>
    <s v=""/>
    <m/>
    <m/>
    <m/>
    <m/>
    <m/>
  </r>
  <r>
    <s v="P-PRP-11"/>
    <s v="Padrão de Rosca Pino"/>
    <s v="5.1/2&quot; STC PIN (Rosca Curta Pino)"/>
    <s v="Gagemaker LP"/>
    <s v="82.020.12.00.24.00"/>
    <m/>
    <x v="1"/>
    <m/>
    <m/>
    <s v="A-5/G-3"/>
    <m/>
    <m/>
    <x v="2"/>
    <m/>
    <s v=""/>
    <m/>
    <m/>
    <m/>
    <m/>
    <m/>
  </r>
  <r>
    <s v="P-PRR-01"/>
    <s v="Medidor de Raio"/>
    <s v="Medidor de Raio (Calibrador de Raio)"/>
    <m/>
    <m/>
    <m/>
    <x v="1"/>
    <m/>
    <m/>
    <s v="A-5/G-1"/>
    <m/>
    <m/>
    <x v="2"/>
    <m/>
    <s v=""/>
    <m/>
    <m/>
    <m/>
    <m/>
    <m/>
  </r>
  <r>
    <s v="P-PSPM-01"/>
    <s v="PADRÃO DE SENSIBILIDADE"/>
    <s v="PADRÃO SHIM TIPO CX-430 (SENSIBILIDADE DO ENSAIO DE PM) "/>
    <s v="MAGNAFLUX"/>
    <n v="2401003600"/>
    <m/>
    <x v="17"/>
    <m/>
    <m/>
    <s v="-"/>
    <s v="021-25"/>
    <s v="NA"/>
    <x v="1"/>
    <s v="NA"/>
    <s v="NA"/>
    <m/>
    <m/>
    <m/>
    <m/>
    <m/>
  </r>
  <r>
    <s v="P-PUS-01"/>
    <s v="Bloco Padrão Ultrassom"/>
    <s v="Bloco Padrão Ultrassom (G)"/>
    <m/>
    <s v="MAP-22024248"/>
    <m/>
    <x v="1"/>
    <m/>
    <m/>
    <s v="A-4/P-2"/>
    <m/>
    <m/>
    <x v="1"/>
    <m/>
    <s v=""/>
    <m/>
    <m/>
    <m/>
    <m/>
    <m/>
  </r>
  <r>
    <s v="P-PUS-02"/>
    <s v="Bloco Padrão Ultrassom"/>
    <s v="Bloco Padrão Ultrassom (M)"/>
    <m/>
    <s v="MAP-22024247"/>
    <m/>
    <x v="1"/>
    <m/>
    <m/>
    <s v="A-4/P-2"/>
    <m/>
    <m/>
    <x v="1"/>
    <m/>
    <s v=""/>
    <m/>
    <m/>
    <m/>
    <m/>
    <m/>
  </r>
  <r>
    <s v="P-PUS-03"/>
    <s v="Bloco Padrão Ultrassom"/>
    <s v="Bloco Padrão Ultrassom INOX (P)"/>
    <m/>
    <s v="MAP-22024246"/>
    <m/>
    <x v="1"/>
    <m/>
    <m/>
    <s v="A-4/P-2"/>
    <m/>
    <m/>
    <x v="1"/>
    <m/>
    <s v=""/>
    <m/>
    <m/>
    <m/>
    <m/>
    <m/>
  </r>
  <r>
    <s v="P-PUS-04"/>
    <s v="Bloco Padrão Ultrassom"/>
    <s v="Bloco Padrão Ultrassom AC (P)"/>
    <m/>
    <s v="MAP 22023837"/>
    <m/>
    <x v="1"/>
    <m/>
    <m/>
    <s v="A-4/P-2"/>
    <m/>
    <m/>
    <x v="1"/>
    <m/>
    <s v=""/>
    <m/>
    <m/>
    <m/>
    <m/>
    <m/>
  </r>
  <r>
    <s v="P-PVT-01"/>
    <s v="Padrão Visual Tátil de Rugosidade"/>
    <s v="Jogo com 7 blocos padrão visual e tátil de rugosidade"/>
    <s v="Digimess"/>
    <n v="400300"/>
    <m/>
    <x v="1"/>
    <m/>
    <m/>
    <s v="A-2/P-2"/>
    <m/>
    <m/>
    <x v="2"/>
    <m/>
    <s v=""/>
    <m/>
    <m/>
    <m/>
    <m/>
    <m/>
  </r>
  <r>
    <s v="P-RAC-01"/>
    <s v="Relógio Apalpador"/>
    <s v="Relógio Apalpador"/>
    <s v="MITUTOYO"/>
    <s v="AJRME6"/>
    <s v="0,001 mm"/>
    <x v="12"/>
    <m/>
    <m/>
    <s v="-"/>
    <s v="022-25"/>
    <m/>
    <x v="1"/>
    <m/>
    <s v=""/>
    <m/>
    <m/>
    <m/>
    <m/>
    <m/>
  </r>
  <r>
    <s v="P-RC-01"/>
    <s v="Relógio comparador"/>
    <s v="Relógio comparador analógico 0-1 mm 2109F"/>
    <s v="MITUTOYO"/>
    <s v="05L279"/>
    <s v="0,001 mm"/>
    <x v="2"/>
    <m/>
    <m/>
    <m/>
    <m/>
    <s v="1015/25"/>
    <x v="0"/>
    <d v="2025-05-21T00:00:00"/>
    <d v="2026-05-21T00:00:00"/>
    <m/>
    <m/>
    <m/>
    <m/>
    <m/>
  </r>
  <r>
    <s v="P-RC-02"/>
    <s v="Relógio comparador"/>
    <s v="Relógio comparador analógico 0-5 mm"/>
    <s v="MITUTOYO"/>
    <s v="SBV358"/>
    <s v="0,001 mm"/>
    <x v="1"/>
    <m/>
    <m/>
    <s v="A-3/G-2"/>
    <m/>
    <m/>
    <x v="1"/>
    <m/>
    <s v=""/>
    <m/>
    <d v="2025-09-01T00:00:00"/>
    <m/>
    <m/>
    <m/>
  </r>
  <r>
    <s v="P-RC-03"/>
    <s v="Relógio comparador"/>
    <s v="Relógio comparador analógico 0-1 mm 2109F"/>
    <s v="MITUTOYO"/>
    <s v="8FJ254"/>
    <s v="0,001 mm"/>
    <x v="2"/>
    <m/>
    <m/>
    <m/>
    <m/>
    <s v="1014/25"/>
    <x v="0"/>
    <d v="2025-05-21T00:00:00"/>
    <d v="2026-05-21T00:00:00"/>
    <m/>
    <m/>
    <m/>
    <m/>
    <m/>
  </r>
  <r>
    <s v="P-RC-04"/>
    <s v="Relógio comparador"/>
    <s v="Relógio comparador analógico 0-5 mm "/>
    <s v="MITUTOYO"/>
    <s v="SBV361"/>
    <s v="0,01 mm"/>
    <x v="2"/>
    <m/>
    <m/>
    <m/>
    <m/>
    <m/>
    <x v="1"/>
    <m/>
    <s v=""/>
    <m/>
    <m/>
    <m/>
    <m/>
    <m/>
  </r>
  <r>
    <s v="P-RC-05"/>
    <s v="Relógio comparador"/>
    <s v="Relógio comparador analógico 0-5 mm"/>
    <s v="MITUTOYO"/>
    <s v="SBV369"/>
    <s v="0,001 mm"/>
    <x v="1"/>
    <m/>
    <m/>
    <s v="A-3/G-2"/>
    <m/>
    <m/>
    <x v="1"/>
    <m/>
    <s v=""/>
    <m/>
    <m/>
    <m/>
    <m/>
    <m/>
  </r>
  <r>
    <s v="P-RC-06"/>
    <s v="Relógio comparador"/>
    <s v="Relógio comparador analógico"/>
    <s v="MITUTOYO"/>
    <s v="SBK335"/>
    <s v="0,01 mm"/>
    <x v="1"/>
    <m/>
    <s v="ACOPLADO AO P-SÚ-03"/>
    <s v="A-3/G-3"/>
    <m/>
    <s v="1832-25"/>
    <x v="0"/>
    <d v="2025-09-22T00:00:00"/>
    <d v="2026-09-22T00:00:00"/>
    <m/>
    <m/>
    <m/>
    <m/>
    <m/>
  </r>
  <r>
    <s v="P-RC-08"/>
    <s v="Relógio comparador"/>
    <s v="Relógio comparador analógico 0-10 mm"/>
    <s v="MITUTOYO"/>
    <s v="2046s"/>
    <s v="0,01mm"/>
    <x v="1"/>
    <m/>
    <m/>
    <s v="A-3/G-2"/>
    <s v="RAI 001-25"/>
    <m/>
    <x v="4"/>
    <m/>
    <s v=""/>
    <m/>
    <m/>
    <m/>
    <d v="2025-09-01T00:00:00"/>
    <m/>
  </r>
  <r>
    <s v="P-RC-09"/>
    <s v="Relógio comparador"/>
    <s v="Relógio comparador analógico 0-10 mm"/>
    <s v="MITUTOYO"/>
    <s v="SBK333/2046S"/>
    <s v="0,001 mm"/>
    <x v="1"/>
    <m/>
    <s v="ACOPLADO AO P-SÚ-02"/>
    <s v="A-3/G-3"/>
    <m/>
    <s v="1707-25"/>
    <x v="0"/>
    <d v="2025-01-24T00:00:00"/>
    <d v="2026-01-24T00:00:00"/>
    <m/>
    <m/>
    <m/>
    <m/>
    <m/>
  </r>
  <r>
    <s v="P-RC-12"/>
    <s v="Relógio comparador"/>
    <s v="Relógio comparador analógico 0-5 mm"/>
    <s v="MITUTOYO"/>
    <s v="SBV373"/>
    <s v="0,001 mm"/>
    <x v="1"/>
    <m/>
    <m/>
    <s v="A-3/G-2"/>
    <m/>
    <m/>
    <x v="1"/>
    <m/>
    <s v=""/>
    <m/>
    <d v="2025-09-01T00:00:00"/>
    <m/>
    <m/>
    <m/>
  </r>
  <r>
    <s v="P-RC-13"/>
    <s v="Relógio comparador"/>
    <s v="Relógio comparador analógico 0-5 mm"/>
    <s v="MITUTOYO"/>
    <s v="SBV368"/>
    <s v="0,01 mm"/>
    <x v="16"/>
    <m/>
    <s v="COLOCAR PONTA DE CONTATO"/>
    <s v="A-3/G-2"/>
    <s v="023-25"/>
    <m/>
    <x v="1"/>
    <m/>
    <s v=""/>
    <m/>
    <d v="2025-09-01T00:00:00"/>
    <m/>
    <m/>
    <m/>
  </r>
  <r>
    <s v="P-RC-14"/>
    <s v="Relógio comparador "/>
    <s v="Relógio comparador analógico 0-5 mm"/>
    <s v="MITUTOYO"/>
    <s v="SBV362"/>
    <s v="0,01 mm"/>
    <x v="18"/>
    <m/>
    <s v="COLOCAR PONTA DE CONTATO"/>
    <s v="A-3/G-2"/>
    <s v="024-25"/>
    <m/>
    <x v="1"/>
    <m/>
    <s v=""/>
    <m/>
    <d v="2025-09-01T00:00:00"/>
    <m/>
    <m/>
    <m/>
  </r>
  <r>
    <s v="P-RC-15"/>
    <s v="Relógio comparador"/>
    <s v="Relógio comparador analógico 0-5 mm"/>
    <s v="MITUTOYO"/>
    <s v="SBV367"/>
    <s v="0,01 mm"/>
    <x v="1"/>
    <m/>
    <s v="Quebrado"/>
    <s v="A-3/G-2"/>
    <m/>
    <m/>
    <x v="4"/>
    <m/>
    <s v=""/>
    <m/>
    <m/>
    <m/>
    <m/>
    <m/>
  </r>
  <r>
    <s v="P-RC-16"/>
    <s v="Relógio comparador"/>
    <s v="Relógio comparador analógico 0-5 mm"/>
    <s v="MITUTOYO"/>
    <s v="SBV364"/>
    <s v="0,01 mm"/>
    <x v="19"/>
    <m/>
    <s v="COLOCAR PONTA DE CONTATO"/>
    <s v="A-3/G-2"/>
    <s v="025-25"/>
    <m/>
    <x v="1"/>
    <m/>
    <s v=""/>
    <m/>
    <m/>
    <m/>
    <m/>
    <m/>
  </r>
  <r>
    <s v="P-RC-17"/>
    <s v="Relógio comparador"/>
    <s v="Relógio comparador analógico"/>
    <s v="MITUTOYO"/>
    <s v="SBV359"/>
    <s v="0,001 mm"/>
    <x v="1"/>
    <m/>
    <s v="ACOPLADO AO P-MDC-05"/>
    <s v="A-5/G-2"/>
    <m/>
    <s v="10C4N925"/>
    <x v="0"/>
    <d v="2025-05-07T00:00:00"/>
    <d v="2026-05-07T00:00:00"/>
    <m/>
    <m/>
    <m/>
    <m/>
    <m/>
  </r>
  <r>
    <s v="P-RC-18"/>
    <s v="Relógio comparador"/>
    <s v="Relógio comparador analógico"/>
    <s v="GAGEMAKER"/>
    <s v="1O45SGA"/>
    <s v="0,001 mm"/>
    <x v="1"/>
    <m/>
    <s v="ACOPLADO AO P-MDC-06"/>
    <s v="A-5/G-2"/>
    <m/>
    <s v="957U4M25"/>
    <x v="0"/>
    <d v="2025-05-07T00:00:00"/>
    <d v="2026-05-07T00:00:00"/>
    <m/>
    <m/>
    <m/>
    <m/>
    <m/>
  </r>
  <r>
    <s v="P-RC-19"/>
    <s v="Relógio comparador"/>
    <s v="Relógio comparador analógico"/>
    <m/>
    <m/>
    <s v="0,001 mm"/>
    <x v="20"/>
    <m/>
    <m/>
    <s v="-"/>
    <s v="026-25"/>
    <m/>
    <x v="1"/>
    <m/>
    <s v=""/>
    <m/>
    <m/>
    <m/>
    <m/>
    <m/>
  </r>
  <r>
    <s v="P-RC-20"/>
    <s v="Relógio comparador"/>
    <s v="Relógio comparador analógico"/>
    <s v="MITUTOYO"/>
    <s v="JTR417"/>
    <m/>
    <x v="1"/>
    <m/>
    <s v="não encontrado"/>
    <m/>
    <m/>
    <m/>
    <x v="3"/>
    <m/>
    <s v=""/>
    <m/>
    <m/>
    <m/>
    <m/>
    <m/>
  </r>
  <r>
    <s v="P-RC-21"/>
    <s v="Relógio comparador"/>
    <s v="Relógio comparador analógico"/>
    <s v="MITUTOYO"/>
    <s v="82.020.15.00.00.26.00"/>
    <s v="0.01/0-10mm"/>
    <x v="1"/>
    <m/>
    <s v="não encontrado"/>
    <m/>
    <m/>
    <m/>
    <x v="3"/>
    <m/>
    <s v=""/>
    <m/>
    <m/>
    <m/>
    <m/>
    <m/>
  </r>
  <r>
    <s v="P-RC-22"/>
    <s v="Relógio comparador"/>
    <s v="Relógio comparador analógico 0-1&quot;"/>
    <s v="JEWLED"/>
    <n v="5614"/>
    <s v="0.001&quot;"/>
    <x v="1"/>
    <m/>
    <s v="Sem ponteira"/>
    <s v="A-3/G-2"/>
    <m/>
    <m/>
    <x v="5"/>
    <m/>
    <s v=""/>
    <m/>
    <m/>
    <m/>
    <m/>
    <m/>
  </r>
  <r>
    <s v="P-RC-23"/>
    <s v="Relógio comparador"/>
    <s v="Relógio comparador analógico 0-3 mm"/>
    <s v="MITUTOYO"/>
    <s v="G161208"/>
    <s v="0,01 mm"/>
    <x v="1"/>
    <m/>
    <m/>
    <s v="A-3/G-2"/>
    <m/>
    <m/>
    <x v="1"/>
    <m/>
    <s v=""/>
    <m/>
    <m/>
    <m/>
    <m/>
    <m/>
  </r>
  <r>
    <s v="P-RUG-01"/>
    <s v="Rugosímetro"/>
    <s v="Rugosímetro digital"/>
    <s v="MITUTOYO"/>
    <n v="522362809"/>
    <m/>
    <x v="1"/>
    <m/>
    <m/>
    <s v="A-2/P-2"/>
    <m/>
    <m/>
    <x v="1"/>
    <m/>
    <s v=""/>
    <m/>
    <m/>
    <m/>
    <m/>
    <m/>
  </r>
  <r>
    <s v="P-SEN-01"/>
    <s v="Sonda Endoscópica"/>
    <s v="Câmera de Inspeção (Sonda Endoscópica)"/>
    <m/>
    <s v="MBR270G"/>
    <m/>
    <x v="1"/>
    <m/>
    <s v="Não é aprova dágua"/>
    <s v="A-4/P-3"/>
    <m/>
    <m/>
    <x v="1"/>
    <m/>
    <s v=""/>
    <m/>
    <m/>
    <m/>
    <m/>
    <m/>
  </r>
  <r>
    <s v="P-SÚ-01"/>
    <s v="Súbito (Passômetro)"/>
    <s v="Medidor de Diâmetro interno Capacidade de 35 - 60 mm"/>
    <s v="MITUTOYO"/>
    <s v="G161208"/>
    <s v="0,01mm / 0-3mm"/>
    <x v="1"/>
    <m/>
    <m/>
    <s v="A-3/G-1"/>
    <m/>
    <s v="3290-23"/>
    <x v="1"/>
    <d v="2023-12-22T00:00:00"/>
    <d v="2024-12-21T00:00:00"/>
    <m/>
    <d v="2025-09-01T00:00:00"/>
    <m/>
    <m/>
    <m/>
  </r>
  <r>
    <s v="P-SÚ-02"/>
    <s v="Súbito (Passômetro)"/>
    <s v="Medidor de Diâmetro interno Capacidade de 50 - 160 mm"/>
    <s v="CHINA"/>
    <s v="G 59541"/>
    <m/>
    <x v="1"/>
    <m/>
    <m/>
    <s v="A-3/G-3"/>
    <m/>
    <s v="3291-23"/>
    <x v="4"/>
    <d v="2023-12-22T00:00:00"/>
    <d v="2024-12-21T00:00:00"/>
    <m/>
    <d v="2025-12-01T00:00:00"/>
    <m/>
    <m/>
    <m/>
  </r>
  <r>
    <s v="P-SÚ-03"/>
    <s v="Súbito (Passômetro)"/>
    <s v="Medidor de Diâmetro interno Capacidade de 50 - 150 mm"/>
    <s v="MITUTOYO"/>
    <s v="2046S"/>
    <s v="0,01mm"/>
    <x v="1"/>
    <m/>
    <m/>
    <s v="A-3/G-1"/>
    <s v="RAI 002-25 E ACC 018-25"/>
    <s v="1832-25"/>
    <x v="0"/>
    <d v="2025-09-22T00:00:00"/>
    <d v="2026-09-22T00:00:00"/>
    <m/>
    <m/>
    <m/>
    <m/>
    <m/>
  </r>
  <r>
    <s v="P-SÚ-04"/>
    <s v="Súbito (Passômetro)"/>
    <s v="Medidor de Diâmetro interno Capacidade de 160 - 250 mm"/>
    <s v="BORE GAUGE"/>
    <s v="n/a"/>
    <s v="0,01 mm"/>
    <x v="1"/>
    <m/>
    <m/>
    <s v="A-3/G-2"/>
    <m/>
    <s v="0801/25"/>
    <x v="0"/>
    <d v="2025-05-06T00:00:00"/>
    <d v="2026-05-06T00:00:00"/>
    <m/>
    <m/>
    <m/>
    <m/>
    <m/>
  </r>
  <r>
    <s v="P-SÚ-05"/>
    <s v="Súbito (Passômetro)"/>
    <s v="Medidor de Diâmetro interno Capacidade de 18 - 35 mm"/>
    <s v="MITUTOYO"/>
    <s v="511-126"/>
    <m/>
    <x v="1"/>
    <m/>
    <m/>
    <s v="A-3/G-3"/>
    <m/>
    <m/>
    <x v="1"/>
    <m/>
    <s v=""/>
    <m/>
    <d v="2025-10-01T00:00:00"/>
    <m/>
    <m/>
    <m/>
  </r>
  <r>
    <s v="P-SÚ-06"/>
    <s v="Súbito (Passômetro)"/>
    <s v="Medidor de Diâmetro interno Capacidade de 35 - 60 mm"/>
    <m/>
    <m/>
    <m/>
    <x v="1"/>
    <m/>
    <m/>
    <s v="A-3/G-3"/>
    <m/>
    <m/>
    <x v="1"/>
    <m/>
    <s v=""/>
    <m/>
    <d v="2025-12-01T00:00:00"/>
    <m/>
    <m/>
    <m/>
  </r>
  <r>
    <s v="P-SÚ-07"/>
    <s v="Súbito (Passômetro)"/>
    <s v="Medidor de Diâmetro interno Capacidade de 50 - 100 mm"/>
    <s v="MITUTOYO"/>
    <s v="511-128"/>
    <m/>
    <x v="1"/>
    <m/>
    <m/>
    <s v="A-3/G-3"/>
    <m/>
    <m/>
    <x v="1"/>
    <m/>
    <s v=""/>
    <m/>
    <s v="0/11/2025"/>
    <m/>
    <m/>
    <m/>
  </r>
  <r>
    <s v="P-SÚ-08"/>
    <s v="Súbito (Passômetro)"/>
    <s v="Medidor de Diâmetro interno Capacidade de 160 - 250 mm"/>
    <s v="MITUTOYO"/>
    <s v="511-131"/>
    <s v="0,001 mm"/>
    <x v="1"/>
    <m/>
    <m/>
    <s v="A-3/G-3"/>
    <m/>
    <m/>
    <x v="1"/>
    <m/>
    <s v=""/>
    <m/>
    <d v="2025-09-01T00:00:00"/>
    <m/>
    <m/>
    <m/>
  </r>
  <r>
    <s v="P-SÚ-09"/>
    <s v="Súbito (Passômetro)"/>
    <s v="Medidor de Diâmetro interno Capacidade de 160 - 250 mm"/>
    <s v="Mitutoyo"/>
    <s v="511-130"/>
    <m/>
    <x v="1"/>
    <m/>
    <m/>
    <s v="A-3/G-3"/>
    <m/>
    <m/>
    <x v="1"/>
    <m/>
    <s v=""/>
    <m/>
    <d v="2025-10-01T00:00:00"/>
    <m/>
    <m/>
    <m/>
  </r>
  <r>
    <s v="P-TDP-01"/>
    <s v="Transdutor de Pressão"/>
    <s v="Transdutor de Pressão 0 a 10000 PSI"/>
    <s v="WIKA"/>
    <s v="WTP-4010"/>
    <m/>
    <x v="21"/>
    <m/>
    <m/>
    <s v="A-3/P-2"/>
    <s v="027-25"/>
    <s v="0802/25"/>
    <x v="0"/>
    <d v="2025-05-06T00:00:00"/>
    <d v="2026-05-06T00:00:00"/>
    <m/>
    <m/>
    <m/>
    <m/>
    <m/>
  </r>
  <r>
    <s v="P-TDP-02"/>
    <s v="Transdutor de Pressão"/>
    <s v="Transdutor de Pressão 0 a 10000 PSI"/>
    <s v="WIKA"/>
    <n v="433732"/>
    <m/>
    <x v="1"/>
    <m/>
    <m/>
    <s v="-"/>
    <m/>
    <s v="LMP433732/24"/>
    <x v="1"/>
    <d v="2024-07-01T00:00:00"/>
    <d v="2024-12-30T00:00:00"/>
    <m/>
    <m/>
    <m/>
    <m/>
    <m/>
  </r>
  <r>
    <s v="P-TDPA-01"/>
    <s v="TUBO DECANTADOR"/>
    <s v="TUBO DE DECANTAÇÃO P/ PM TIPO PERA COM CAULE 1 ML DIVISÃO DE 0,05 ML"/>
    <s v="IVM"/>
    <s v="IVMA-17679"/>
    <m/>
    <x v="1"/>
    <m/>
    <m/>
    <s v="A-4/P-1"/>
    <m/>
    <s v="IVM 103372"/>
    <x v="0"/>
    <d v="2024-07-26T00:00:00"/>
    <d v="2029-07-26T00:00:00"/>
    <m/>
    <m/>
    <m/>
    <m/>
    <m/>
  </r>
  <r>
    <s v="P-TER-01"/>
    <s v="SENSOR/DISPOSITIVO DE TEMPERATURA"/>
    <s v="MEDIDOR DE TEMPERATURA"/>
    <s v="NOVUS"/>
    <n v="308564"/>
    <m/>
    <x v="22"/>
    <m/>
    <s v=" (DÓ) (RECOLHER)"/>
    <s v="-"/>
    <s v="028-25"/>
    <m/>
    <x v="1"/>
    <d v="2024-06-17T00:00:00"/>
    <d v="2025-06-17T00:00:00"/>
    <m/>
    <m/>
    <m/>
    <m/>
    <m/>
  </r>
  <r>
    <s v="P-TER-02"/>
    <s v="SENSOR/DISPOSITIVO DE TEMPERATURA"/>
    <s v="MEDIDOR DE TEMPERATURA"/>
    <s v="MINIPA"/>
    <s v="MT-350A"/>
    <m/>
    <x v="1"/>
    <m/>
    <s v="REPROVADO"/>
    <m/>
    <m/>
    <m/>
    <x v="4"/>
    <m/>
    <s v=""/>
    <m/>
    <m/>
    <m/>
    <m/>
    <m/>
  </r>
  <r>
    <s v="P-TER-03"/>
    <s v="SENSOR/DISPOSITIVO DE TEMPERATURA"/>
    <s v="TERMOPAR SIMPLES TIPO K CONVENCIONAL 200 MM"/>
    <s v="ECIL"/>
    <s v="NA"/>
    <m/>
    <x v="0"/>
    <m/>
    <m/>
    <s v="-"/>
    <s v="029-25"/>
    <m/>
    <x v="1"/>
    <d v="2024-06-17T00:00:00"/>
    <d v="2025-06-17T00:00:00"/>
    <m/>
    <m/>
    <m/>
    <m/>
    <m/>
  </r>
  <r>
    <s v="P-TER-04"/>
    <s v="SENSOR/DISPOSITIVO DE TEMPERATURA"/>
    <s v="TERMÔMETRO (PIRÔMETRO) DIGITAL DE CONTATO MT-450A COM TERMOPAR MTK-01 E TERMOPAR TIPO K (-50 A 1300°C)"/>
    <s v="MINIPA"/>
    <n v="84122"/>
    <s v="0,1°C"/>
    <x v="1"/>
    <m/>
    <s v="ACC 010-25"/>
    <s v="A-5/P-3"/>
    <m/>
    <s v="3028/25"/>
    <x v="0"/>
    <d v="2025-09-03T00:00:00"/>
    <d v="2026-09-03T00:00:00"/>
    <m/>
    <m/>
    <m/>
    <m/>
    <m/>
  </r>
  <r>
    <s v="P-TER-05"/>
    <s v="SENSOR/DISPOSITIVO DE TEMPERATURA"/>
    <s v="MEDIDOR DE TEMPERATURA (TERMÔMETRO) 62 MAX IR Thermometer -30°C a 500 °C"/>
    <s v="FLUKE "/>
    <s v="F.001.24"/>
    <s v="0,1°C"/>
    <x v="17"/>
    <m/>
    <s v="ACC 011-25"/>
    <s v="A-5/P-3"/>
    <s v="030-25"/>
    <s v="2022/25"/>
    <x v="0"/>
    <d v="2025-09-22T00:00:00"/>
    <d v="2026-09-22T00:00:00"/>
    <m/>
    <m/>
    <m/>
    <m/>
    <m/>
  </r>
  <r>
    <s v="P-TER-06"/>
    <s v="SENSOR/DISPOSITIVO DE TEMPERATURA"/>
    <s v="MEDIDOR DE TEMPERATURA (TERMÔMETRO) 568 IR Thernoneter "/>
    <s v="FLUKE "/>
    <s v="F-406"/>
    <m/>
    <x v="1"/>
    <d v="2025-09-05T00:00:00"/>
    <s v="*Retirada apenas em 05/09/2025"/>
    <s v="A-5/P-3"/>
    <m/>
    <s v="2143/24"/>
    <x v="0"/>
    <s v="09/08/2024*"/>
    <s v="05/09/206"/>
    <m/>
    <m/>
    <m/>
    <m/>
    <m/>
  </r>
  <r>
    <s v="P-TER-07"/>
    <s v="SENSOR/DISPOSITIVO DE TEMPERATURA"/>
    <s v="MEDIDOR DE TEMPERATURA (TERMÔMETRO)"/>
    <s v="MINIPA"/>
    <s v="MT-320B"/>
    <m/>
    <x v="3"/>
    <m/>
    <m/>
    <s v="-"/>
    <s v="031-25"/>
    <s v="0110-25"/>
    <x v="0"/>
    <d v="2025-01-17T00:00:00"/>
    <d v="2026-01-17T00:00:00"/>
    <m/>
    <m/>
    <m/>
    <m/>
    <m/>
  </r>
  <r>
    <s v="P-TER-08"/>
    <s v="SENSOR/DISPOSITIVO DE TEMPERATURA"/>
    <s v="TERMOPAR OMEGA CASS-14G-12 TIPO K"/>
    <m/>
    <m/>
    <m/>
    <x v="1"/>
    <m/>
    <m/>
    <s v="A-5/P-1"/>
    <m/>
    <s v="LT-458533"/>
    <x v="1"/>
    <d v="2024-09-06T00:00:00"/>
    <d v="2025-09-06T00:00:00"/>
    <m/>
    <m/>
    <m/>
    <m/>
    <m/>
  </r>
  <r>
    <s v="P-TER-09"/>
    <s v="SENSOR/DISPOSITIVO DE TEMPERATURA"/>
    <s v="TERMOPAR TIPO PT-100"/>
    <m/>
    <m/>
    <m/>
    <x v="22"/>
    <m/>
    <s v="DÓ- ESTÁ NO TANQUE DE FOSFATO"/>
    <s v="-"/>
    <s v="032-25"/>
    <m/>
    <x v="1"/>
    <m/>
    <s v=""/>
    <m/>
    <m/>
    <m/>
    <m/>
    <m/>
  </r>
  <r>
    <s v="P-TER-10"/>
    <s v="SENSOR/DISPOSITIVO DE TEMPERATURA"/>
    <s v="TERMOPAR TIPO PT-100"/>
    <m/>
    <m/>
    <m/>
    <x v="22"/>
    <m/>
    <s v="ESTÁ NO FORNO"/>
    <s v="-"/>
    <s v="033-25"/>
    <m/>
    <x v="1"/>
    <m/>
    <s v=""/>
    <m/>
    <m/>
    <m/>
    <m/>
    <m/>
  </r>
  <r>
    <s v="P-TER-11"/>
    <s v="SENSOR/DISPOSITIVO DE TEMPERATURA"/>
    <s v="TERMOPAR TIPO K"/>
    <m/>
    <m/>
    <m/>
    <x v="6"/>
    <m/>
    <s v="ESTÁ NA ESTUFA"/>
    <s v="-"/>
    <m/>
    <m/>
    <x v="1"/>
    <m/>
    <s v=""/>
    <m/>
    <m/>
    <m/>
    <m/>
    <m/>
  </r>
  <r>
    <s v="P-TER-12"/>
    <s v="SENSOR/DISPOSITIVO DE TEMPERATURA"/>
    <s v="TERMOPAR TIPO J"/>
    <m/>
    <m/>
    <m/>
    <x v="22"/>
    <m/>
    <s v="ESTÁ NO FOSFATO"/>
    <s v="-"/>
    <s v="034-25"/>
    <m/>
    <x v="1"/>
    <m/>
    <s v=""/>
    <m/>
    <m/>
    <m/>
    <m/>
    <m/>
  </r>
  <r>
    <s v="P-TER-13"/>
    <s v="SENSOR/DISPOSITIVO DE TEMPERATURA"/>
    <s v="Termômetro Analógico 0 a 100°C"/>
    <s v="WIKA"/>
    <s v="TI-1222003"/>
    <m/>
    <x v="6"/>
    <m/>
    <m/>
    <m/>
    <m/>
    <m/>
    <x v="3"/>
    <m/>
    <s v=""/>
    <m/>
    <m/>
    <m/>
    <m/>
    <m/>
  </r>
  <r>
    <s v="P-TRA-01"/>
    <s v="Traçador de Altura "/>
    <s v="Analógico - 600mm"/>
    <s v="MITUTOYO"/>
    <m/>
    <s v="0,01 mm"/>
    <x v="2"/>
    <m/>
    <m/>
    <s v="SM"/>
    <m/>
    <m/>
    <x v="1"/>
    <m/>
    <s v=""/>
    <m/>
    <m/>
    <m/>
    <m/>
    <m/>
  </r>
  <r>
    <s v="P-TRA-02"/>
    <s v="Traçador de Altura "/>
    <s v="Analógico -  300 mm"/>
    <m/>
    <n v="200704905"/>
    <s v="0,02 mm"/>
    <x v="1"/>
    <m/>
    <s v="Quebrado"/>
    <s v="SM"/>
    <m/>
    <m/>
    <x v="4"/>
    <m/>
    <s v=""/>
    <m/>
    <m/>
    <m/>
    <s v="01/11/2025"/>
    <m/>
  </r>
  <r>
    <s v="P-TRP-01"/>
    <s v="Transmissor de Pressão"/>
    <s v="Transmissor de Pressão 5000 psi"/>
    <s v="Rosemount"/>
    <s v="0002860"/>
    <m/>
    <x v="1"/>
    <m/>
    <m/>
    <s v="A-3/P-1"/>
    <m/>
    <m/>
    <x v="1"/>
    <m/>
    <s v=""/>
    <m/>
    <m/>
    <m/>
    <m/>
    <m/>
  </r>
  <r>
    <s v="P-TRP-02"/>
    <s v="Transmissor de Pressão"/>
    <s v="Transmissor de Pressão 5000 psi"/>
    <s v="Rosemount"/>
    <s v="0002861"/>
    <m/>
    <x v="1"/>
    <m/>
    <m/>
    <s v="A-3/P-1"/>
    <m/>
    <m/>
    <x v="1"/>
    <m/>
    <s v=""/>
    <m/>
    <m/>
    <m/>
    <m/>
    <m/>
  </r>
  <r>
    <s v="P-TRP-03"/>
    <s v="Transmissor de Pressão"/>
    <s v="Transmissor de Pressão 6000 psi"/>
    <s v="Ashcroft"/>
    <s v="B01118963"/>
    <m/>
    <x v="1"/>
    <m/>
    <m/>
    <s v="A-3/P-1"/>
    <m/>
    <m/>
    <x v="1"/>
    <m/>
    <s v=""/>
    <m/>
    <m/>
    <m/>
    <m/>
    <m/>
  </r>
  <r>
    <s v="P-TRP-04"/>
    <s v="Transmissor de Pressão"/>
    <s v="Transmissor de Pressão 500 bar"/>
    <s v="MEGGA"/>
    <s v="0525-1830-01"/>
    <m/>
    <x v="1"/>
    <m/>
    <s v="TESTE DE CARGA"/>
    <s v="A-3/P-1"/>
    <m/>
    <s v="1930/25"/>
    <x v="0"/>
    <d v="2025-06-03T00:00:00"/>
    <d v="2026-06-03T00:00:00"/>
    <m/>
    <m/>
    <m/>
    <m/>
    <m/>
  </r>
  <r>
    <s v="P-VAL-01"/>
    <s v="Válvula de Alívio "/>
    <s v="3300 PSI"/>
    <s v="LESER"/>
    <n v="10551690"/>
    <m/>
    <x v="6"/>
    <m/>
    <s v="ALUGADO"/>
    <m/>
    <m/>
    <s v="1340/24"/>
    <x v="1"/>
    <d v="2024-05-17T00:00:00"/>
    <d v="2025-05-17T00:00:00"/>
    <m/>
    <m/>
    <m/>
    <m/>
    <m/>
  </r>
  <r>
    <s v="P-VAL-02"/>
    <s v="Válvula de Alívio "/>
    <s v="3400 PSI"/>
    <s v="N. BURGEP"/>
    <n v="58262"/>
    <m/>
    <x v="6"/>
    <m/>
    <s v="ALUGADO"/>
    <m/>
    <m/>
    <m/>
    <x v="0"/>
    <m/>
    <s v=""/>
    <m/>
    <m/>
    <m/>
    <m/>
    <m/>
  </r>
  <r>
    <s v="P-YK-01"/>
    <s v="Yoke"/>
    <s v="SEY. 101 1A"/>
    <s v="SERV-END"/>
    <n v="1931"/>
    <m/>
    <x v="17"/>
    <m/>
    <m/>
    <s v="-"/>
    <s v="035-25"/>
    <m/>
    <x v="1"/>
    <m/>
    <s v=""/>
    <m/>
    <d v="2025-10-15T00:00:0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73FEC-06A6-4DFC-8FB8-03CEEEAF874D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S1:S2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ntagem de OBS.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54AF8-2ADA-49A6-A22F-D4F54576F37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12" firstHeaderRow="1" firstDataRow="1" firstDataCol="1"/>
  <pivotFields count="20">
    <pivotField showAll="0"/>
    <pivotField dataField="1" showAll="0"/>
    <pivotField showAll="0"/>
    <pivotField showAll="0"/>
    <pivotField showAll="0"/>
    <pivotField showAll="0"/>
    <pivotField axis="axisRow" showAll="0">
      <items count="56">
        <item m="1" x="44"/>
        <item m="1" x="54"/>
        <item m="1" x="38"/>
        <item m="1" x="51"/>
        <item m="1" x="46"/>
        <item x="7"/>
        <item m="1" x="40"/>
        <item m="1" x="49"/>
        <item h="1" x="6"/>
        <item m="1" x="39"/>
        <item m="1" x="50"/>
        <item m="1" x="27"/>
        <item m="1" x="48"/>
        <item h="1" x="1"/>
        <item x="17"/>
        <item m="1" x="53"/>
        <item m="1" x="52"/>
        <item m="1" x="45"/>
        <item m="1" x="42"/>
        <item m="1" x="41"/>
        <item m="1" x="43"/>
        <item m="1" x="47"/>
        <item h="1" x="2"/>
        <item x="4"/>
        <item x="8"/>
        <item m="1" x="26"/>
        <item m="1" x="28"/>
        <item x="11"/>
        <item m="1" x="29"/>
        <item m="1" x="30"/>
        <item x="12"/>
        <item m="1" x="31"/>
        <item m="1" x="32"/>
        <item m="1" x="33"/>
        <item m="1" x="34"/>
        <item m="1" x="23"/>
        <item m="1" x="25"/>
        <item x="15"/>
        <item x="16"/>
        <item m="1" x="35"/>
        <item m="1" x="36"/>
        <item m="1" x="37"/>
        <item x="0"/>
        <item x="3"/>
        <item h="1" x="9"/>
        <item h="1" x="5"/>
        <item h="1" m="1" x="24"/>
        <item h="1" x="13"/>
        <item h="1" x="18"/>
        <item h="1" x="19"/>
        <item h="1" x="20"/>
        <item h="1" x="21"/>
        <item h="1" x="22"/>
        <item h="1" x="10"/>
        <item h="1"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1">
    <i>
      <x v="5"/>
    </i>
    <i>
      <x v="14"/>
    </i>
    <i>
      <x v="23"/>
    </i>
    <i>
      <x v="24"/>
    </i>
    <i>
      <x v="27"/>
    </i>
    <i>
      <x v="30"/>
    </i>
    <i>
      <x v="37"/>
    </i>
    <i>
      <x v="38"/>
    </i>
    <i>
      <x v="42"/>
    </i>
    <i>
      <x v="43"/>
    </i>
    <i t="grand">
      <x/>
    </i>
  </rowItems>
  <colItems count="1">
    <i/>
  </colItems>
  <dataFields count="1">
    <dataField name="Contagem de TIPO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89C338-7A24-41DD-8D7D-77A2DC712699}" name="Tabela3" displayName="Tabela3" ref="B4:P310" headerRowDxfId="208" dataDxfId="206" headerRowBorderDxfId="207" tableBorderDxfId="205" totalsRowBorderDxfId="204">
  <autoFilter ref="B4:P310" xr:uid="{BF89C338-7A24-41DD-8D7D-77A2DC712699}"/>
  <sortState xmlns:xlrd2="http://schemas.microsoft.com/office/spreadsheetml/2017/richdata2" ref="B5:P310">
    <sortCondition ref="B4:B310"/>
  </sortState>
  <tableColumns count="15">
    <tableColumn id="1" xr3:uid="{8728BD4F-4F81-4F6B-86AC-52E7DB72EF61}" name="TAG" totalsRowLabel="Total" dataDxfId="203" totalsRowDxfId="202"/>
    <tableColumn id="2" xr3:uid="{95DD3E62-BEC2-4C4D-A496-F4FE701FCDAC}" name="TIPO" dataDxfId="201" totalsRowDxfId="200"/>
    <tableColumn id="3" xr3:uid="{B6AD6209-7CA2-4481-B426-B24AE7517AB5}" name="DESCRIÇÃO" dataDxfId="199" totalsRowDxfId="198"/>
    <tableColumn id="4" xr3:uid="{21D91E81-BF54-4915-B566-E924215C0F1A}" name="FABRICANTE" dataDxfId="197" totalsRowDxfId="196"/>
    <tableColumn id="5" xr3:uid="{B4B6B3C3-9239-4268-AA91-6529A4B216C2}" name="N° de Série" dataDxfId="195" totalsRowDxfId="194"/>
    <tableColumn id="7" xr3:uid="{7CFB2E3E-DBAE-414C-AB32-EB5C88489782}" name="RESOLUÇÃO" dataDxfId="193" totalsRowDxfId="192"/>
    <tableColumn id="9" xr3:uid="{BBC9BBDA-9B12-4056-83A9-41933063C87A}" name="RESPONSÁVEL" dataDxfId="191" totalsRowDxfId="190"/>
    <tableColumn id="15" xr3:uid="{E2438B58-F78E-4545-8478-B2F7F90BD1E8}" name="OBS." dataDxfId="189" totalsRowDxfId="188"/>
    <tableColumn id="11" xr3:uid="{46053033-CB4D-4803-A4F4-ACE2172E23BD}" name="LOCALIZAÇÃO" dataDxfId="187" totalsRowDxfId="186"/>
    <tableColumn id="16" xr3:uid="{0EEB4FD2-EB82-456D-8F47-857C9E7A2D63}" name="TERMO DE RESPONSABILIDADE" dataDxfId="185" totalsRowDxfId="184"/>
    <tableColumn id="12" xr3:uid="{AF40B589-BFCC-4281-A40A-AD5A5AEC4C4E}" name="Nº CALIBRAÇÃO" dataDxfId="183" totalsRowDxfId="182"/>
    <tableColumn id="6" xr3:uid="{9D395513-B324-4D93-A8C8-65D8E39C60F6}" name="SITUAÇÃO" dataDxfId="181" totalsRowDxfId="180"/>
    <tableColumn id="17" xr3:uid="{6675166F-074C-4F38-A375-3232BED3AA53}" name="DATA DE CALIBRAÇÃO" dataDxfId="179" totalsRowDxfId="178"/>
    <tableColumn id="13" xr3:uid="{4AFF2142-BC6A-4997-B269-CA20D21068BE}" name="RETIRADA APÓS CALIBRAÇÃO (STANDBY)" dataDxfId="177"/>
    <tableColumn id="14" xr3:uid="{641640CB-1FE3-4A27-B4D6-50D60AE4FAC4}" name="VALIDADE DA CALIBRAÇÃO" totalsRowFunction="count" dataDxfId="176">
      <calculatedColumnFormula>IF(Tabela3[[#This Row],[RETIRADA APÓS CALIBRAÇÃO (STANDBY)]]="","",Tabela3[[#This Row],[RETIRADA APÓS CALIBRAÇÃO (STANDBY)]]+365)</calculatedColumnFormula>
    </tableColumn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cnoferramentas.com.br/paquimetro-universal-0_300mm-resolucao-de-002mm_001-polegadas-fabricado-kingtools-501300/p?idsku=2005408&amp;utm_source=google&amp;utm_medium=cpc&amp;utm_campaign=Pmax_Smart-Shopping&amp;utm_content=&amp;utm_term=&amp;gad_source=4&amp;gad_campaignid=17177580618&amp;gbraid=0AAAAADy1nPfYXdnBABVjY_gLwN2OHC0Sj&amp;gclid=Cj0KCQjwndHEBhDVARIsAGh0g3AtRLCbZGBcJ5I7OdWvIp6pgXXF6ZBesNB963qIWPiQiCDVDaVqIyUaAkCyEALw_wcB" TargetMode="External"/><Relationship Id="rId7" Type="http://schemas.openxmlformats.org/officeDocument/2006/relationships/hyperlink" Target="https://www.mercadolivre.com.br/relogio-comparador-mitutoyo-0-10mm-x-001mm-2046s/p/MLB24640423" TargetMode="External"/><Relationship Id="rId2" Type="http://schemas.openxmlformats.org/officeDocument/2006/relationships/hyperlink" Target="https://www.lojametrotokyo.com.br/dureza/durometros-shore-a-c-asker-c-d-00/durometro-shore-d-borrachas-duras-mtk-1031-certificado-de-calibracao-rastreavel-rbcinmetro" TargetMode="External"/><Relationship Id="rId1" Type="http://schemas.openxmlformats.org/officeDocument/2006/relationships/hyperlink" Target="https://www.lojametrotokyo.com.br/dureza/durometros-shore-a-c-asker-c-d-00/durometro-shore-a-borrachas-moles-mtk-1030-certificado-de-calibracao-rastreavel-rbcinmetro?parceiro=5339&amp;gad_source=1&amp;gad_campaignid=17348606087&amp;gbraid=0AAAAADG1SxfeNXIBXDf4yfz6lGbLwOYfR&amp;gclid=Cj0KCQjwndHEBhDVARIsAGh0g3DuS8CSl1baCYRtMh4PIULYoAV4NdXuVW57kd3GCEhXnlWX74S4gxIaAsJ-EALw_wcB" TargetMode="External"/><Relationship Id="rId6" Type="http://schemas.openxmlformats.org/officeDocument/2006/relationships/hyperlink" Target="https://produto.mercadolivre.com.br/MLB-2717472852-kit-10-pontas-contato-relogio-comparador-digimess-mitutoyo-_JM" TargetMode="External"/><Relationship Id="rId5" Type="http://schemas.openxmlformats.org/officeDocument/2006/relationships/hyperlink" Target="https://www.mercadolivre.com.br/jogo-de-micrometros-externos-0-a-125mm--kit-com-5-pecas/up/MLBU773375414?pdp_filters=item_id:MLB3778069892" TargetMode="External"/><Relationship Id="rId4" Type="http://schemas.openxmlformats.org/officeDocument/2006/relationships/hyperlink" Target="https://produto.mercadolivre.com.br/MLB-4105693363-relogio-comparador-profissional-001-ate-10mm-_JM?matt_tool=18956390&amp;utm_source=google_shopping&amp;utm_medium=organ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A58E-DE9B-43A9-9A90-03F64DA0D07A}">
  <dimension ref="A1:U26"/>
  <sheetViews>
    <sheetView workbookViewId="0">
      <selection activeCell="C27" sqref="C27"/>
    </sheetView>
  </sheetViews>
  <sheetFormatPr defaultRowHeight="15" x14ac:dyDescent="0.25"/>
  <cols>
    <col min="1" max="1" width="20.42578125" bestFit="1" customWidth="1"/>
    <col min="2" max="2" width="17.5703125" bestFit="1" customWidth="1"/>
    <col min="19" max="20" width="17.5703125" bestFit="1" customWidth="1"/>
  </cols>
  <sheetData>
    <row r="1" spans="1:21" x14ac:dyDescent="0.25">
      <c r="A1" s="49" t="s">
        <v>0</v>
      </c>
      <c r="B1" t="s">
        <v>8</v>
      </c>
      <c r="S1" t="s">
        <v>9</v>
      </c>
    </row>
    <row r="2" spans="1:21" x14ac:dyDescent="0.25">
      <c r="A2" s="50" t="s">
        <v>10</v>
      </c>
      <c r="B2">
        <v>1</v>
      </c>
      <c r="S2">
        <v>59</v>
      </c>
      <c r="U2" s="50"/>
    </row>
    <row r="3" spans="1:21" x14ac:dyDescent="0.25">
      <c r="A3" s="50" t="s">
        <v>11</v>
      </c>
      <c r="B3">
        <v>4</v>
      </c>
      <c r="U3" s="50"/>
    </row>
    <row r="4" spans="1:21" x14ac:dyDescent="0.25">
      <c r="A4" s="50" t="s">
        <v>12</v>
      </c>
      <c r="B4">
        <v>3</v>
      </c>
      <c r="U4" s="50"/>
    </row>
    <row r="5" spans="1:21" x14ac:dyDescent="0.25">
      <c r="A5" s="50" t="s">
        <v>13</v>
      </c>
      <c r="B5">
        <v>1</v>
      </c>
      <c r="U5" s="50"/>
    </row>
    <row r="6" spans="1:21" x14ac:dyDescent="0.25">
      <c r="A6" s="50" t="s">
        <v>14</v>
      </c>
      <c r="B6">
        <v>1</v>
      </c>
      <c r="U6" s="50"/>
    </row>
    <row r="7" spans="1:21" x14ac:dyDescent="0.25">
      <c r="A7" s="50" t="s">
        <v>15</v>
      </c>
      <c r="B7">
        <v>2</v>
      </c>
      <c r="U7" s="50"/>
    </row>
    <row r="8" spans="1:21" x14ac:dyDescent="0.25">
      <c r="A8" s="50" t="s">
        <v>16</v>
      </c>
      <c r="B8">
        <v>1</v>
      </c>
      <c r="U8" s="50"/>
    </row>
    <row r="9" spans="1:21" x14ac:dyDescent="0.25">
      <c r="A9" s="50" t="s">
        <v>17</v>
      </c>
      <c r="B9">
        <v>2</v>
      </c>
      <c r="U9" s="50"/>
    </row>
    <row r="10" spans="1:21" x14ac:dyDescent="0.25">
      <c r="A10" s="50" t="s">
        <v>18</v>
      </c>
      <c r="B10">
        <v>2</v>
      </c>
      <c r="U10" s="50"/>
    </row>
    <row r="11" spans="1:21" x14ac:dyDescent="0.25">
      <c r="A11" s="50" t="s">
        <v>19</v>
      </c>
      <c r="B11">
        <v>2</v>
      </c>
      <c r="U11" s="50"/>
    </row>
    <row r="12" spans="1:21" x14ac:dyDescent="0.25">
      <c r="A12" s="50" t="s">
        <v>7</v>
      </c>
      <c r="B12">
        <v>19</v>
      </c>
      <c r="U12" s="50"/>
    </row>
    <row r="13" spans="1:21" x14ac:dyDescent="0.25">
      <c r="U13" s="50"/>
    </row>
    <row r="14" spans="1:21" x14ac:dyDescent="0.25">
      <c r="U14" s="50"/>
    </row>
    <row r="15" spans="1:21" x14ac:dyDescent="0.25">
      <c r="U15" s="50"/>
    </row>
    <row r="16" spans="1:21" x14ac:dyDescent="0.25">
      <c r="U16" s="50"/>
    </row>
    <row r="17" spans="21:21" x14ac:dyDescent="0.25">
      <c r="U17" s="50"/>
    </row>
    <row r="18" spans="21:21" x14ac:dyDescent="0.25">
      <c r="U18" s="50"/>
    </row>
    <row r="19" spans="21:21" x14ac:dyDescent="0.25">
      <c r="U19" s="50"/>
    </row>
    <row r="20" spans="21:21" x14ac:dyDescent="0.25">
      <c r="U20" s="50"/>
    </row>
    <row r="21" spans="21:21" x14ac:dyDescent="0.25">
      <c r="U21" s="50"/>
    </row>
    <row r="22" spans="21:21" x14ac:dyDescent="0.25">
      <c r="U22" s="50"/>
    </row>
    <row r="23" spans="21:21" x14ac:dyDescent="0.25">
      <c r="U23" s="50"/>
    </row>
    <row r="24" spans="21:21" x14ac:dyDescent="0.25">
      <c r="U24" s="50"/>
    </row>
    <row r="25" spans="21:21" x14ac:dyDescent="0.25">
      <c r="U25" s="50"/>
    </row>
    <row r="26" spans="21:21" x14ac:dyDescent="0.25">
      <c r="U26" s="50"/>
    </row>
  </sheetData>
  <pageMargins left="0.511811024" right="0.511811024" top="0.78740157499999996" bottom="0.78740157499999996" header="0.31496062000000002" footer="0.3149606200000000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159E-0017-4974-B3A2-D7DDEB8A3367}">
  <sheetPr>
    <tabColor rgb="FFFF0000"/>
    <pageSetUpPr fitToPage="1"/>
  </sheetPr>
  <dimension ref="A1:U491"/>
  <sheetViews>
    <sheetView showGridLines="0" tabSelected="1" topLeftCell="B1" zoomScale="30" zoomScaleNormal="30" zoomScaleSheetLayoutView="25" workbookViewId="0">
      <pane xSplit="2" ySplit="4" topLeftCell="D189" activePane="bottomRight" state="frozen"/>
      <selection pane="topRight" activeCell="E1" sqref="E1"/>
      <selection pane="bottomLeft" activeCell="A6" sqref="A6"/>
      <selection pane="bottomRight" activeCell="L193" sqref="L193"/>
    </sheetView>
  </sheetViews>
  <sheetFormatPr defaultRowHeight="15" x14ac:dyDescent="0.25"/>
  <cols>
    <col min="1" max="1" width="7.5703125" hidden="1" customWidth="1"/>
    <col min="2" max="2" width="46.28515625" customWidth="1"/>
    <col min="3" max="3" width="99.140625" customWidth="1"/>
    <col min="4" max="4" width="130.5703125" customWidth="1"/>
    <col min="5" max="5" width="42" customWidth="1"/>
    <col min="6" max="6" width="52.85546875" bestFit="1" customWidth="1"/>
    <col min="7" max="7" width="48.85546875" customWidth="1"/>
    <col min="8" max="8" width="54.85546875" customWidth="1"/>
    <col min="9" max="9" width="76.7109375" style="47" customWidth="1"/>
    <col min="10" max="10" width="40.140625" bestFit="1" customWidth="1"/>
    <col min="11" max="11" width="38.28515625" customWidth="1"/>
    <col min="12" max="12" width="43.42578125" style="47" customWidth="1"/>
    <col min="13" max="13" width="38.7109375" style="47" customWidth="1"/>
    <col min="14" max="14" width="59" style="121" customWidth="1"/>
    <col min="15" max="15" width="80.5703125" customWidth="1"/>
    <col min="16" max="16" width="89.7109375" style="1" customWidth="1"/>
    <col min="17" max="17" width="4" customWidth="1"/>
    <col min="18" max="19" width="0" hidden="1" customWidth="1"/>
    <col min="20" max="20" width="17.28515625" customWidth="1"/>
    <col min="21" max="21" width="81.5703125" customWidth="1"/>
  </cols>
  <sheetData>
    <row r="1" spans="1:21" ht="57" customHeight="1" x14ac:dyDescent="0.25">
      <c r="B1" s="166" t="s">
        <v>1285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</row>
    <row r="2" spans="1:21" ht="54.75" customHeight="1" x14ac:dyDescent="0.25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</row>
    <row r="3" spans="1:21" ht="18" customHeight="1" x14ac:dyDescent="0.25">
      <c r="B3" s="166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</row>
    <row r="4" spans="1:21" ht="183" customHeight="1" x14ac:dyDescent="0.25">
      <c r="B4" s="23" t="s">
        <v>20</v>
      </c>
      <c r="C4" s="24" t="s">
        <v>21</v>
      </c>
      <c r="D4" s="24" t="s">
        <v>22</v>
      </c>
      <c r="E4" s="24" t="s">
        <v>23</v>
      </c>
      <c r="F4" s="24" t="s">
        <v>24</v>
      </c>
      <c r="G4" s="24" t="s">
        <v>25</v>
      </c>
      <c r="H4" s="24" t="s">
        <v>26</v>
      </c>
      <c r="I4" s="23" t="s">
        <v>27</v>
      </c>
      <c r="J4" s="23" t="s">
        <v>28</v>
      </c>
      <c r="K4" s="23" t="s">
        <v>29</v>
      </c>
      <c r="L4" s="23" t="s">
        <v>30</v>
      </c>
      <c r="M4" s="23" t="s">
        <v>31</v>
      </c>
      <c r="N4" s="113" t="s">
        <v>1035</v>
      </c>
      <c r="O4" s="23" t="s">
        <v>1036</v>
      </c>
      <c r="P4" s="25" t="s">
        <v>32</v>
      </c>
      <c r="T4" s="21" t="s">
        <v>33</v>
      </c>
      <c r="U4" s="22">
        <f ca="1">TODAY()</f>
        <v>46262</v>
      </c>
    </row>
    <row r="5" spans="1:21" s="2" customFormat="1" ht="60" x14ac:dyDescent="0.5">
      <c r="A5" s="39"/>
      <c r="B5" s="12" t="s">
        <v>34</v>
      </c>
      <c r="C5" s="7" t="s">
        <v>35</v>
      </c>
      <c r="D5" s="19" t="s">
        <v>36</v>
      </c>
      <c r="E5" s="7" t="s">
        <v>37</v>
      </c>
      <c r="F5" s="7">
        <v>79119</v>
      </c>
      <c r="G5" s="7"/>
      <c r="H5" s="7" t="s">
        <v>18</v>
      </c>
      <c r="I5" s="40"/>
      <c r="J5" s="7"/>
      <c r="K5" s="7"/>
      <c r="L5" s="19" t="s">
        <v>38</v>
      </c>
      <c r="M5" s="19" t="s">
        <v>1</v>
      </c>
      <c r="N5" s="6">
        <v>45926</v>
      </c>
      <c r="O5" s="6">
        <v>45926</v>
      </c>
      <c r="P5" s="124">
        <f>IF(Tabela3[[#This Row],[RETIRADA APÓS CALIBRAÇÃO (STANDBY)]]="","",Tabela3[[#This Row],[RETIRADA APÓS CALIBRAÇÃO (STANDBY)]]+365)</f>
        <v>46291</v>
      </c>
      <c r="Q5" s="6"/>
      <c r="T5" s="174" t="s">
        <v>39</v>
      </c>
      <c r="U5" s="174"/>
    </row>
    <row r="6" spans="1:21" s="2" customFormat="1" ht="54.95" customHeight="1" x14ac:dyDescent="0.5">
      <c r="A6" s="39"/>
      <c r="B6" s="14" t="s">
        <v>1127</v>
      </c>
      <c r="C6" s="7" t="s">
        <v>35</v>
      </c>
      <c r="D6" s="7" t="s">
        <v>1128</v>
      </c>
      <c r="E6" s="7" t="s">
        <v>37</v>
      </c>
      <c r="F6" s="7"/>
      <c r="G6" s="7"/>
      <c r="H6" s="7"/>
      <c r="I6" s="40"/>
      <c r="J6" s="7"/>
      <c r="K6" s="7"/>
      <c r="L6" s="19"/>
      <c r="M6" s="19" t="s">
        <v>2</v>
      </c>
      <c r="N6" s="114"/>
      <c r="O6" s="6"/>
      <c r="P6" s="112" t="str">
        <f>IF(Tabela3[[#This Row],[RETIRADA APÓS CALIBRAÇÃO (STANDBY)]]="","",Tabela3[[#This Row],[RETIRADA APÓS CALIBRAÇÃO (STANDBY)]]+365)</f>
        <v/>
      </c>
      <c r="Q6" s="143"/>
      <c r="T6" s="142"/>
      <c r="U6" s="142"/>
    </row>
    <row r="7" spans="1:21" s="2" customFormat="1" ht="54.95" customHeight="1" x14ac:dyDescent="0.5">
      <c r="A7" s="39"/>
      <c r="B7" s="14" t="s">
        <v>1194</v>
      </c>
      <c r="C7" s="7" t="s">
        <v>35</v>
      </c>
      <c r="D7" s="19" t="s">
        <v>1195</v>
      </c>
      <c r="E7" s="7"/>
      <c r="F7" s="7"/>
      <c r="G7" s="7"/>
      <c r="H7" s="7" t="s">
        <v>12</v>
      </c>
      <c r="I7" s="40"/>
      <c r="J7" s="7"/>
      <c r="K7" s="7"/>
      <c r="L7" s="19"/>
      <c r="M7" s="19" t="s">
        <v>2</v>
      </c>
      <c r="N7" s="114"/>
      <c r="O7" s="6"/>
      <c r="P7" s="112" t="str">
        <f>IF(Tabela3[[#This Row],[RETIRADA APÓS CALIBRAÇÃO (STANDBY)]]="","",Tabela3[[#This Row],[RETIRADA APÓS CALIBRAÇÃO (STANDBY)]]+365)</f>
        <v/>
      </c>
      <c r="Q7" s="143"/>
      <c r="T7" s="142"/>
      <c r="U7" s="142"/>
    </row>
    <row r="8" spans="1:21" s="2" customFormat="1" ht="54.95" customHeight="1" x14ac:dyDescent="0.5">
      <c r="A8" s="39"/>
      <c r="B8" s="12" t="s">
        <v>40</v>
      </c>
      <c r="C8" s="7" t="s">
        <v>41</v>
      </c>
      <c r="D8" s="7" t="s">
        <v>42</v>
      </c>
      <c r="E8" s="7" t="s">
        <v>43</v>
      </c>
      <c r="F8" s="7"/>
      <c r="G8" s="7"/>
      <c r="H8" s="7" t="s">
        <v>44</v>
      </c>
      <c r="I8" s="19"/>
      <c r="J8" s="55" t="s">
        <v>45</v>
      </c>
      <c r="K8" s="55"/>
      <c r="L8" s="19" t="s">
        <v>46</v>
      </c>
      <c r="M8" s="19" t="s">
        <v>1</v>
      </c>
      <c r="N8" s="6">
        <v>46050</v>
      </c>
      <c r="O8" s="6">
        <v>46050</v>
      </c>
      <c r="P8" s="124">
        <f>IF(Tabela3[[#This Row],[RETIRADA APÓS CALIBRAÇÃO (STANDBY)]]="","",Tabela3[[#This Row],[RETIRADA APÓS CALIBRAÇÃO (STANDBY)]]+365)</f>
        <v>46415</v>
      </c>
      <c r="T8" s="175" t="s">
        <v>1</v>
      </c>
      <c r="U8" s="176"/>
    </row>
    <row r="9" spans="1:21" s="2" customFormat="1" ht="54.95" customHeight="1" x14ac:dyDescent="0.5">
      <c r="A9" s="39"/>
      <c r="B9" s="58" t="s">
        <v>47</v>
      </c>
      <c r="C9" s="4" t="s">
        <v>48</v>
      </c>
      <c r="D9" s="4" t="s">
        <v>49</v>
      </c>
      <c r="E9" s="4"/>
      <c r="F9" s="4" t="s">
        <v>50</v>
      </c>
      <c r="G9" s="4"/>
      <c r="H9" s="9" t="s">
        <v>44</v>
      </c>
      <c r="I9" s="41"/>
      <c r="J9" s="5" t="s">
        <v>51</v>
      </c>
      <c r="K9" s="5"/>
      <c r="L9" s="41"/>
      <c r="M9" s="41" t="s">
        <v>4</v>
      </c>
      <c r="N9" s="115"/>
      <c r="O9" s="6"/>
      <c r="P9" s="112" t="str">
        <f>IF(Tabela3[[#This Row],[RETIRADA APÓS CALIBRAÇÃO (STANDBY)]]="","",Tabela3[[#This Row],[RETIRADA APÓS CALIBRAÇÃO (STANDBY)]]+365)</f>
        <v/>
      </c>
      <c r="T9" s="181" t="s">
        <v>2</v>
      </c>
      <c r="U9" s="182"/>
    </row>
    <row r="10" spans="1:21" s="2" customFormat="1" ht="54.95" customHeight="1" x14ac:dyDescent="0.5">
      <c r="A10" s="39"/>
      <c r="B10" s="58" t="s">
        <v>52</v>
      </c>
      <c r="C10" s="4" t="s">
        <v>48</v>
      </c>
      <c r="D10" s="4" t="s">
        <v>53</v>
      </c>
      <c r="E10" s="4"/>
      <c r="F10" s="4" t="s">
        <v>50</v>
      </c>
      <c r="G10" s="4"/>
      <c r="H10" s="9" t="s">
        <v>44</v>
      </c>
      <c r="I10" s="41"/>
      <c r="J10" s="5" t="s">
        <v>51</v>
      </c>
      <c r="K10" s="5"/>
      <c r="L10" s="41"/>
      <c r="M10" s="41" t="s">
        <v>4</v>
      </c>
      <c r="N10" s="115"/>
      <c r="O10" s="7"/>
      <c r="P10" s="112" t="str">
        <f>IF(Tabela3[[#This Row],[RETIRADA APÓS CALIBRAÇÃO (STANDBY)]]="","",Tabela3[[#This Row],[RETIRADA APÓS CALIBRAÇÃO (STANDBY)]]+365)</f>
        <v/>
      </c>
      <c r="T10" s="177" t="s">
        <v>3</v>
      </c>
      <c r="U10" s="178"/>
    </row>
    <row r="11" spans="1:21" s="2" customFormat="1" ht="54.95" customHeight="1" x14ac:dyDescent="0.5">
      <c r="A11" s="39"/>
      <c r="B11" s="56" t="s">
        <v>54</v>
      </c>
      <c r="C11" s="9" t="s">
        <v>55</v>
      </c>
      <c r="D11" s="7" t="s">
        <v>56</v>
      </c>
      <c r="E11" s="9" t="s">
        <v>57</v>
      </c>
      <c r="F11" s="9" t="s">
        <v>58</v>
      </c>
      <c r="G11" s="9"/>
      <c r="H11" s="9" t="s">
        <v>44</v>
      </c>
      <c r="I11" s="19"/>
      <c r="J11" s="7" t="s">
        <v>59</v>
      </c>
      <c r="K11" s="7"/>
      <c r="L11" s="19"/>
      <c r="M11" s="19" t="s">
        <v>4</v>
      </c>
      <c r="N11" s="114"/>
      <c r="O11" s="6"/>
      <c r="P11" s="112" t="str">
        <f>IF(Tabela3[[#This Row],[RETIRADA APÓS CALIBRAÇÃO (STANDBY)]]="","",Tabela3[[#This Row],[RETIRADA APÓS CALIBRAÇÃO (STANDBY)]]+365)</f>
        <v/>
      </c>
      <c r="T11" s="179" t="s">
        <v>60</v>
      </c>
      <c r="U11" s="180"/>
    </row>
    <row r="12" spans="1:21" s="2" customFormat="1" ht="54.95" customHeight="1" x14ac:dyDescent="0.5">
      <c r="A12" s="39"/>
      <c r="B12" s="165" t="s">
        <v>61</v>
      </c>
      <c r="C12" s="9" t="s">
        <v>48</v>
      </c>
      <c r="D12" s="4" t="s">
        <v>62</v>
      </c>
      <c r="E12" s="9"/>
      <c r="F12" s="9" t="s">
        <v>50</v>
      </c>
      <c r="G12" s="9"/>
      <c r="H12" s="9" t="s">
        <v>44</v>
      </c>
      <c r="I12" s="40"/>
      <c r="J12" s="10" t="s">
        <v>63</v>
      </c>
      <c r="K12" s="10"/>
      <c r="L12" s="19" t="s">
        <v>64</v>
      </c>
      <c r="M12" s="19" t="s">
        <v>4</v>
      </c>
      <c r="N12" s="6">
        <v>46049</v>
      </c>
      <c r="O12" s="6">
        <v>46049</v>
      </c>
      <c r="P12" s="112">
        <f>IF(Tabela3[[#This Row],[RETIRADA APÓS CALIBRAÇÃO (STANDBY)]]="","",Tabela3[[#This Row],[RETIRADA APÓS CALIBRAÇÃO (STANDBY)]]+365)</f>
        <v>46414</v>
      </c>
      <c r="T12" s="170" t="s">
        <v>6</v>
      </c>
      <c r="U12" s="171"/>
    </row>
    <row r="13" spans="1:21" s="2" customFormat="1" ht="54.95" customHeight="1" x14ac:dyDescent="0.5">
      <c r="A13" s="39"/>
      <c r="B13" s="165" t="s">
        <v>65</v>
      </c>
      <c r="C13" s="9" t="s">
        <v>48</v>
      </c>
      <c r="D13" s="4" t="s">
        <v>66</v>
      </c>
      <c r="E13" s="9"/>
      <c r="F13" s="9" t="s">
        <v>50</v>
      </c>
      <c r="G13" s="9"/>
      <c r="H13" s="9" t="s">
        <v>44</v>
      </c>
      <c r="I13" s="40"/>
      <c r="J13" s="10" t="s">
        <v>63</v>
      </c>
      <c r="K13" s="10"/>
      <c r="L13" s="19" t="s">
        <v>67</v>
      </c>
      <c r="M13" s="19" t="s">
        <v>4</v>
      </c>
      <c r="N13" s="6">
        <v>46049</v>
      </c>
      <c r="O13" s="6">
        <v>46049</v>
      </c>
      <c r="P13" s="112">
        <f>IF(Tabela3[[#This Row],[RETIRADA APÓS CALIBRAÇÃO (STANDBY)]]="","",Tabela3[[#This Row],[RETIRADA APÓS CALIBRAÇÃO (STANDBY)]]+365)</f>
        <v>46414</v>
      </c>
      <c r="T13" s="183" t="s">
        <v>68</v>
      </c>
      <c r="U13" s="184"/>
    </row>
    <row r="14" spans="1:21" s="2" customFormat="1" ht="54.95" customHeight="1" x14ac:dyDescent="0.5">
      <c r="A14" s="39"/>
      <c r="B14" s="165" t="s">
        <v>69</v>
      </c>
      <c r="C14" s="9" t="s">
        <v>48</v>
      </c>
      <c r="D14" s="4" t="s">
        <v>70</v>
      </c>
      <c r="E14" s="9"/>
      <c r="F14" s="9" t="s">
        <v>50</v>
      </c>
      <c r="G14" s="9"/>
      <c r="H14" s="9" t="s">
        <v>44</v>
      </c>
      <c r="I14" s="40"/>
      <c r="J14" s="10" t="s">
        <v>63</v>
      </c>
      <c r="K14" s="10"/>
      <c r="L14" s="19" t="s">
        <v>71</v>
      </c>
      <c r="M14" s="19" t="s">
        <v>4</v>
      </c>
      <c r="N14" s="6">
        <v>46049</v>
      </c>
      <c r="O14" s="6">
        <v>46049</v>
      </c>
      <c r="P14" s="112">
        <f>IF(Tabela3[[#This Row],[RETIRADA APÓS CALIBRAÇÃO (STANDBY)]]="","",Tabela3[[#This Row],[RETIRADA APÓS CALIBRAÇÃO (STANDBY)]]+365)</f>
        <v>46414</v>
      </c>
      <c r="T14" s="172" t="s">
        <v>72</v>
      </c>
      <c r="U14" s="173"/>
    </row>
    <row r="15" spans="1:21" s="2" customFormat="1" ht="54.95" customHeight="1" x14ac:dyDescent="0.5">
      <c r="A15" s="39"/>
      <c r="B15" s="165" t="s">
        <v>73</v>
      </c>
      <c r="C15" s="9" t="s">
        <v>48</v>
      </c>
      <c r="D15" s="4" t="s">
        <v>74</v>
      </c>
      <c r="E15" s="9"/>
      <c r="F15" s="9" t="s">
        <v>50</v>
      </c>
      <c r="G15" s="9"/>
      <c r="H15" s="9" t="s">
        <v>44</v>
      </c>
      <c r="I15" s="40"/>
      <c r="J15" s="10" t="s">
        <v>63</v>
      </c>
      <c r="K15" s="10"/>
      <c r="L15" s="19" t="s">
        <v>75</v>
      </c>
      <c r="M15" s="19" t="s">
        <v>4</v>
      </c>
      <c r="N15" s="6">
        <v>46049</v>
      </c>
      <c r="O15" s="6">
        <v>46049</v>
      </c>
      <c r="P15" s="112">
        <f>IF(Tabela3[[#This Row],[RETIRADA APÓS CALIBRAÇÃO (STANDBY)]]="","",Tabela3[[#This Row],[RETIRADA APÓS CALIBRAÇÃO (STANDBY)]]+365)</f>
        <v>46414</v>
      </c>
      <c r="T15" s="168" t="s">
        <v>76</v>
      </c>
      <c r="U15" s="169"/>
    </row>
    <row r="16" spans="1:21" s="2" customFormat="1" ht="54.95" customHeight="1" x14ac:dyDescent="0.5">
      <c r="A16" s="39"/>
      <c r="B16" s="165" t="s">
        <v>77</v>
      </c>
      <c r="C16" s="9" t="s">
        <v>48</v>
      </c>
      <c r="D16" s="4" t="s">
        <v>78</v>
      </c>
      <c r="E16" s="9"/>
      <c r="F16" s="9" t="s">
        <v>50</v>
      </c>
      <c r="G16" s="9"/>
      <c r="H16" s="9" t="s">
        <v>44</v>
      </c>
      <c r="I16" s="40"/>
      <c r="J16" s="10" t="s">
        <v>63</v>
      </c>
      <c r="K16" s="10"/>
      <c r="L16" s="19" t="s">
        <v>79</v>
      </c>
      <c r="M16" s="19" t="s">
        <v>4</v>
      </c>
      <c r="N16" s="6">
        <v>46049</v>
      </c>
      <c r="O16" s="6">
        <v>46049</v>
      </c>
      <c r="P16" s="112">
        <f>IF(Tabela3[[#This Row],[RETIRADA APÓS CALIBRAÇÃO (STANDBY)]]="","",Tabela3[[#This Row],[RETIRADA APÓS CALIBRAÇÃO (STANDBY)]]+365)</f>
        <v>46414</v>
      </c>
    </row>
    <row r="17" spans="1:16" s="2" customFormat="1" ht="54.95" customHeight="1" x14ac:dyDescent="0.5">
      <c r="A17" s="39"/>
      <c r="B17" s="165" t="s">
        <v>80</v>
      </c>
      <c r="C17" s="9" t="s">
        <v>48</v>
      </c>
      <c r="D17" s="4" t="s">
        <v>81</v>
      </c>
      <c r="E17" s="9"/>
      <c r="F17" s="9" t="s">
        <v>50</v>
      </c>
      <c r="G17" s="9"/>
      <c r="H17" s="9" t="s">
        <v>44</v>
      </c>
      <c r="I17" s="40"/>
      <c r="J17" s="10" t="s">
        <v>63</v>
      </c>
      <c r="K17" s="10"/>
      <c r="L17" s="19" t="s">
        <v>641</v>
      </c>
      <c r="M17" s="19" t="s">
        <v>4</v>
      </c>
      <c r="N17" s="6">
        <v>46049</v>
      </c>
      <c r="O17" s="6">
        <v>46049</v>
      </c>
      <c r="P17" s="112">
        <f>IF(Tabela3[[#This Row],[RETIRADA APÓS CALIBRAÇÃO (STANDBY)]]="","",Tabela3[[#This Row],[RETIRADA APÓS CALIBRAÇÃO (STANDBY)]]+365)</f>
        <v>46414</v>
      </c>
    </row>
    <row r="18" spans="1:16" s="2" customFormat="1" ht="54.95" customHeight="1" x14ac:dyDescent="0.5">
      <c r="A18" s="39"/>
      <c r="B18" s="165" t="s">
        <v>82</v>
      </c>
      <c r="C18" s="9" t="s">
        <v>48</v>
      </c>
      <c r="D18" s="4" t="s">
        <v>83</v>
      </c>
      <c r="E18" s="9"/>
      <c r="F18" s="9" t="s">
        <v>50</v>
      </c>
      <c r="G18" s="9"/>
      <c r="H18" s="9" t="s">
        <v>44</v>
      </c>
      <c r="I18" s="40"/>
      <c r="J18" s="10" t="s">
        <v>63</v>
      </c>
      <c r="K18" s="10"/>
      <c r="L18" s="19" t="s">
        <v>84</v>
      </c>
      <c r="M18" s="19" t="s">
        <v>4</v>
      </c>
      <c r="N18" s="6">
        <v>46049</v>
      </c>
      <c r="O18" s="6">
        <v>46049</v>
      </c>
      <c r="P18" s="112">
        <f>IF(Tabela3[[#This Row],[RETIRADA APÓS CALIBRAÇÃO (STANDBY)]]="","",Tabela3[[#This Row],[RETIRADA APÓS CALIBRAÇÃO (STANDBY)]]+365)</f>
        <v>46414</v>
      </c>
    </row>
    <row r="19" spans="1:16" s="2" customFormat="1" ht="54.95" customHeight="1" x14ac:dyDescent="0.5">
      <c r="A19" s="39"/>
      <c r="B19" s="165" t="s">
        <v>85</v>
      </c>
      <c r="C19" s="9" t="s">
        <v>48</v>
      </c>
      <c r="D19" s="4" t="s">
        <v>86</v>
      </c>
      <c r="E19" s="9"/>
      <c r="F19" s="9" t="s">
        <v>50</v>
      </c>
      <c r="G19" s="9"/>
      <c r="H19" s="9" t="s">
        <v>44</v>
      </c>
      <c r="I19" s="40"/>
      <c r="J19" s="10" t="s">
        <v>63</v>
      </c>
      <c r="K19" s="10"/>
      <c r="L19" s="19" t="s">
        <v>87</v>
      </c>
      <c r="M19" s="19" t="s">
        <v>4</v>
      </c>
      <c r="N19" s="6">
        <v>46049</v>
      </c>
      <c r="O19" s="6">
        <v>46049</v>
      </c>
      <c r="P19" s="112">
        <f>IF(Tabela3[[#This Row],[RETIRADA APÓS CALIBRAÇÃO (STANDBY)]]="","",Tabela3[[#This Row],[RETIRADA APÓS CALIBRAÇÃO (STANDBY)]]+365)</f>
        <v>46414</v>
      </c>
    </row>
    <row r="20" spans="1:16" s="2" customFormat="1" ht="54.95" customHeight="1" x14ac:dyDescent="0.5">
      <c r="A20" s="39"/>
      <c r="B20" s="165" t="s">
        <v>88</v>
      </c>
      <c r="C20" s="9" t="s">
        <v>48</v>
      </c>
      <c r="D20" s="4" t="s">
        <v>62</v>
      </c>
      <c r="E20" s="9"/>
      <c r="F20" s="9" t="s">
        <v>50</v>
      </c>
      <c r="G20" s="9"/>
      <c r="H20" s="9" t="s">
        <v>44</v>
      </c>
      <c r="I20" s="40"/>
      <c r="J20" s="10"/>
      <c r="K20" s="10"/>
      <c r="L20" s="40" t="s">
        <v>1266</v>
      </c>
      <c r="M20" s="19" t="s">
        <v>4</v>
      </c>
      <c r="N20" s="6">
        <v>46178</v>
      </c>
      <c r="O20" s="6">
        <v>46223</v>
      </c>
      <c r="P20" s="112">
        <f>IF(Tabela3[[#This Row],[RETIRADA APÓS CALIBRAÇÃO (STANDBY)]]="","",Tabela3[[#This Row],[RETIRADA APÓS CALIBRAÇÃO (STANDBY)]]+365)</f>
        <v>46588</v>
      </c>
    </row>
    <row r="21" spans="1:16" s="2" customFormat="1" ht="54.95" customHeight="1" x14ac:dyDescent="0.5">
      <c r="A21" s="39"/>
      <c r="B21" s="165" t="s">
        <v>89</v>
      </c>
      <c r="C21" s="9" t="s">
        <v>48</v>
      </c>
      <c r="D21" s="4" t="s">
        <v>70</v>
      </c>
      <c r="E21" s="9"/>
      <c r="F21" s="9" t="s">
        <v>50</v>
      </c>
      <c r="G21" s="9"/>
      <c r="H21" s="9" t="s">
        <v>44</v>
      </c>
      <c r="I21" s="40"/>
      <c r="J21" s="10"/>
      <c r="K21" s="10"/>
      <c r="L21" s="19" t="s">
        <v>1267</v>
      </c>
      <c r="M21" s="19" t="s">
        <v>4</v>
      </c>
      <c r="N21" s="6">
        <v>46178</v>
      </c>
      <c r="O21" s="6">
        <v>46220</v>
      </c>
      <c r="P21" s="112">
        <f>IF(Tabela3[[#This Row],[RETIRADA APÓS CALIBRAÇÃO (STANDBY)]]="","",Tabela3[[#This Row],[RETIRADA APÓS CALIBRAÇÃO (STANDBY)]]+365)</f>
        <v>46585</v>
      </c>
    </row>
    <row r="22" spans="1:16" s="2" customFormat="1" ht="54.95" customHeight="1" x14ac:dyDescent="0.5">
      <c r="A22" s="39"/>
      <c r="B22" s="165" t="s">
        <v>91</v>
      </c>
      <c r="C22" s="9" t="s">
        <v>48</v>
      </c>
      <c r="D22" s="4" t="s">
        <v>92</v>
      </c>
      <c r="E22" s="9"/>
      <c r="F22" s="9" t="s">
        <v>50</v>
      </c>
      <c r="G22" s="9"/>
      <c r="H22" s="9" t="s">
        <v>44</v>
      </c>
      <c r="I22" s="40"/>
      <c r="J22" s="10"/>
      <c r="K22" s="10"/>
      <c r="L22" s="19" t="s">
        <v>1264</v>
      </c>
      <c r="M22" s="19" t="s">
        <v>4</v>
      </c>
      <c r="N22" s="6">
        <v>46178</v>
      </c>
      <c r="O22" s="6">
        <v>46223</v>
      </c>
      <c r="P22" s="112">
        <f>IF(Tabela3[[#This Row],[RETIRADA APÓS CALIBRAÇÃO (STANDBY)]]="","",Tabela3[[#This Row],[RETIRADA APÓS CALIBRAÇÃO (STANDBY)]]+365)</f>
        <v>46588</v>
      </c>
    </row>
    <row r="23" spans="1:16" s="2" customFormat="1" ht="54.95" customHeight="1" x14ac:dyDescent="0.5">
      <c r="A23" s="39"/>
      <c r="B23" s="165" t="s">
        <v>93</v>
      </c>
      <c r="C23" s="9" t="s">
        <v>48</v>
      </c>
      <c r="D23" s="4" t="s">
        <v>78</v>
      </c>
      <c r="E23" s="9"/>
      <c r="F23" s="9" t="s">
        <v>50</v>
      </c>
      <c r="G23" s="9"/>
      <c r="H23" s="9" t="s">
        <v>44</v>
      </c>
      <c r="I23" s="40"/>
      <c r="J23" s="10"/>
      <c r="K23" s="10"/>
      <c r="L23" s="19" t="s">
        <v>1268</v>
      </c>
      <c r="M23" s="19" t="s">
        <v>4</v>
      </c>
      <c r="N23" s="6">
        <v>46178</v>
      </c>
      <c r="O23" s="6">
        <v>46220</v>
      </c>
      <c r="P23" s="112">
        <f>IF(Tabela3[[#This Row],[RETIRADA APÓS CALIBRAÇÃO (STANDBY)]]="","",Tabela3[[#This Row],[RETIRADA APÓS CALIBRAÇÃO (STANDBY)]]+365)</f>
        <v>46585</v>
      </c>
    </row>
    <row r="24" spans="1:16" s="2" customFormat="1" ht="54.95" customHeight="1" x14ac:dyDescent="0.5">
      <c r="A24" s="39"/>
      <c r="B24" s="11" t="s">
        <v>94</v>
      </c>
      <c r="C24" s="9" t="s">
        <v>48</v>
      </c>
      <c r="D24" s="4" t="s">
        <v>62</v>
      </c>
      <c r="E24" s="9"/>
      <c r="F24" s="9" t="s">
        <v>50</v>
      </c>
      <c r="G24" s="9"/>
      <c r="H24" s="9" t="s">
        <v>44</v>
      </c>
      <c r="I24" s="40" t="s">
        <v>1279</v>
      </c>
      <c r="J24" s="10"/>
      <c r="K24" s="10"/>
      <c r="L24" s="19" t="s">
        <v>90</v>
      </c>
      <c r="M24" s="40" t="s">
        <v>2</v>
      </c>
      <c r="N24" s="6">
        <v>45280</v>
      </c>
      <c r="O24" s="6">
        <v>45280</v>
      </c>
      <c r="P24" s="112">
        <f>IF(Tabela3[[#This Row],[RETIRADA APÓS CALIBRAÇÃO (STANDBY)]]="","",Tabela3[[#This Row],[RETIRADA APÓS CALIBRAÇÃO (STANDBY)]]+365)</f>
        <v>45645</v>
      </c>
    </row>
    <row r="25" spans="1:16" s="2" customFormat="1" ht="54.95" customHeight="1" x14ac:dyDescent="0.5">
      <c r="A25" s="39"/>
      <c r="B25" s="56" t="s">
        <v>95</v>
      </c>
      <c r="C25" s="9" t="s">
        <v>48</v>
      </c>
      <c r="D25" s="7" t="s">
        <v>66</v>
      </c>
      <c r="E25" s="9"/>
      <c r="F25" s="9" t="s">
        <v>50</v>
      </c>
      <c r="G25" s="9"/>
      <c r="H25" s="9" t="s">
        <v>44</v>
      </c>
      <c r="I25" s="40"/>
      <c r="J25" s="7"/>
      <c r="K25" s="7"/>
      <c r="L25" s="19" t="s">
        <v>1269</v>
      </c>
      <c r="M25" s="19" t="s">
        <v>4</v>
      </c>
      <c r="N25" s="6">
        <v>46178</v>
      </c>
      <c r="O25" s="6">
        <v>46220</v>
      </c>
      <c r="P25" s="112">
        <f>IF(Tabela3[[#This Row],[RETIRADA APÓS CALIBRAÇÃO (STANDBY)]]="","",Tabela3[[#This Row],[RETIRADA APÓS CALIBRAÇÃO (STANDBY)]]+365)</f>
        <v>46585</v>
      </c>
    </row>
    <row r="26" spans="1:16" s="2" customFormat="1" ht="54.95" customHeight="1" x14ac:dyDescent="0.5">
      <c r="A26" s="39"/>
      <c r="B26" s="56" t="s">
        <v>96</v>
      </c>
      <c r="C26" s="9" t="s">
        <v>48</v>
      </c>
      <c r="D26" s="7" t="s">
        <v>97</v>
      </c>
      <c r="E26" s="9"/>
      <c r="F26" s="9" t="s">
        <v>50</v>
      </c>
      <c r="G26" s="9"/>
      <c r="H26" s="9" t="s">
        <v>44</v>
      </c>
      <c r="I26" s="40"/>
      <c r="J26" s="7"/>
      <c r="K26" s="7"/>
      <c r="L26" s="19" t="s">
        <v>98</v>
      </c>
      <c r="M26" s="19" t="s">
        <v>4</v>
      </c>
      <c r="N26" s="6">
        <v>46049</v>
      </c>
      <c r="O26" s="6">
        <v>46049</v>
      </c>
      <c r="P26" s="112">
        <f>IF(Tabela3[[#This Row],[RETIRADA APÓS CALIBRAÇÃO (STANDBY)]]="","",Tabela3[[#This Row],[RETIRADA APÓS CALIBRAÇÃO (STANDBY)]]+365)</f>
        <v>46414</v>
      </c>
    </row>
    <row r="27" spans="1:16" s="2" customFormat="1" ht="54.95" customHeight="1" x14ac:dyDescent="0.5">
      <c r="A27" s="39"/>
      <c r="B27" s="106" t="s">
        <v>99</v>
      </c>
      <c r="C27" s="9" t="s">
        <v>48</v>
      </c>
      <c r="D27" s="4" t="s">
        <v>81</v>
      </c>
      <c r="E27" s="9" t="s">
        <v>100</v>
      </c>
      <c r="F27" s="9"/>
      <c r="G27" s="9"/>
      <c r="H27" s="9"/>
      <c r="I27" s="40"/>
      <c r="J27" s="7"/>
      <c r="K27" s="7"/>
      <c r="L27" s="19"/>
      <c r="M27" s="19"/>
      <c r="N27" s="114"/>
      <c r="O27" s="6"/>
      <c r="P27" s="112" t="str">
        <f>IF(Tabela3[[#This Row],[RETIRADA APÓS CALIBRAÇÃO (STANDBY)]]="","",Tabela3[[#This Row],[RETIRADA APÓS CALIBRAÇÃO (STANDBY)]]+365)</f>
        <v/>
      </c>
    </row>
    <row r="28" spans="1:16" s="2" customFormat="1" ht="54.95" customHeight="1" x14ac:dyDescent="0.5">
      <c r="A28" s="39"/>
      <c r="B28" s="56" t="s">
        <v>101</v>
      </c>
      <c r="C28" s="9" t="s">
        <v>48</v>
      </c>
      <c r="D28" s="7" t="s">
        <v>102</v>
      </c>
      <c r="E28" s="9" t="s">
        <v>103</v>
      </c>
      <c r="F28" s="9">
        <v>14022</v>
      </c>
      <c r="G28" s="9"/>
      <c r="H28" s="9" t="s">
        <v>44</v>
      </c>
      <c r="I28" s="40"/>
      <c r="J28" s="7"/>
      <c r="K28" s="7"/>
      <c r="L28" s="19" t="s">
        <v>104</v>
      </c>
      <c r="M28" s="40" t="s">
        <v>4</v>
      </c>
      <c r="N28" s="116"/>
      <c r="O28" s="6"/>
      <c r="P28" s="112" t="str">
        <f>IF(Tabela3[[#This Row],[RETIRADA APÓS CALIBRAÇÃO (STANDBY)]]="","",Tabela3[[#This Row],[RETIRADA APÓS CALIBRAÇÃO (STANDBY)]]+365)</f>
        <v/>
      </c>
    </row>
    <row r="29" spans="1:16" s="2" customFormat="1" ht="54.95" customHeight="1" x14ac:dyDescent="0.5">
      <c r="A29" s="39"/>
      <c r="B29" s="56" t="s">
        <v>105</v>
      </c>
      <c r="C29" s="9" t="s">
        <v>48</v>
      </c>
      <c r="D29" s="7" t="s">
        <v>106</v>
      </c>
      <c r="E29" s="9" t="s">
        <v>103</v>
      </c>
      <c r="F29" s="9">
        <v>150508</v>
      </c>
      <c r="G29" s="9"/>
      <c r="H29" s="9" t="s">
        <v>44</v>
      </c>
      <c r="I29" s="40"/>
      <c r="J29" s="7"/>
      <c r="K29" s="7"/>
      <c r="L29" s="19" t="s">
        <v>104</v>
      </c>
      <c r="M29" s="40" t="s">
        <v>4</v>
      </c>
      <c r="N29" s="116"/>
      <c r="O29" s="6"/>
      <c r="P29" s="112" t="str">
        <f>IF(Tabela3[[#This Row],[RETIRADA APÓS CALIBRAÇÃO (STANDBY)]]="","",Tabela3[[#This Row],[RETIRADA APÓS CALIBRAÇÃO (STANDBY)]]+365)</f>
        <v/>
      </c>
    </row>
    <row r="30" spans="1:16" s="2" customFormat="1" ht="54.95" customHeight="1" x14ac:dyDescent="0.5">
      <c r="A30" s="39"/>
      <c r="B30" s="56" t="s">
        <v>107</v>
      </c>
      <c r="C30" s="9" t="s">
        <v>48</v>
      </c>
      <c r="D30" s="7" t="s">
        <v>106</v>
      </c>
      <c r="E30" s="9" t="s">
        <v>103</v>
      </c>
      <c r="F30" s="68" t="s">
        <v>108</v>
      </c>
      <c r="G30" s="9"/>
      <c r="H30" s="9" t="s">
        <v>44</v>
      </c>
      <c r="I30" s="40"/>
      <c r="J30" s="7"/>
      <c r="K30" s="7"/>
      <c r="L30" s="19" t="s">
        <v>104</v>
      </c>
      <c r="M30" s="40" t="s">
        <v>4</v>
      </c>
      <c r="N30" s="116"/>
      <c r="O30" s="6"/>
      <c r="P30" s="112" t="str">
        <f>IF(Tabela3[[#This Row],[RETIRADA APÓS CALIBRAÇÃO (STANDBY)]]="","",Tabela3[[#This Row],[RETIRADA APÓS CALIBRAÇÃO (STANDBY)]]+365)</f>
        <v/>
      </c>
    </row>
    <row r="31" spans="1:16" s="2" customFormat="1" ht="54.95" customHeight="1" x14ac:dyDescent="0.5">
      <c r="A31" s="39"/>
      <c r="B31" s="56" t="s">
        <v>109</v>
      </c>
      <c r="C31" s="9" t="s">
        <v>48</v>
      </c>
      <c r="D31" s="7" t="s">
        <v>106</v>
      </c>
      <c r="E31" s="9" t="s">
        <v>103</v>
      </c>
      <c r="F31" s="9">
        <v>150574</v>
      </c>
      <c r="G31" s="9"/>
      <c r="H31" s="9" t="s">
        <v>44</v>
      </c>
      <c r="I31" s="40"/>
      <c r="J31" s="7"/>
      <c r="K31" s="7"/>
      <c r="L31" s="19" t="s">
        <v>104</v>
      </c>
      <c r="M31" s="40" t="s">
        <v>4</v>
      </c>
      <c r="N31" s="116"/>
      <c r="O31" s="6"/>
      <c r="P31" s="112" t="str">
        <f>IF(Tabela3[[#This Row],[RETIRADA APÓS CALIBRAÇÃO (STANDBY)]]="","",Tabela3[[#This Row],[RETIRADA APÓS CALIBRAÇÃO (STANDBY)]]+365)</f>
        <v/>
      </c>
    </row>
    <row r="32" spans="1:16" s="2" customFormat="1" ht="54.95" customHeight="1" x14ac:dyDescent="0.5">
      <c r="A32" s="39"/>
      <c r="B32" s="56" t="s">
        <v>110</v>
      </c>
      <c r="C32" s="9" t="s">
        <v>48</v>
      </c>
      <c r="D32" s="7" t="s">
        <v>106</v>
      </c>
      <c r="E32" s="9" t="s">
        <v>103</v>
      </c>
      <c r="F32" s="9">
        <v>150542</v>
      </c>
      <c r="G32" s="9"/>
      <c r="H32" s="9" t="s">
        <v>44</v>
      </c>
      <c r="I32" s="40"/>
      <c r="J32" s="7"/>
      <c r="K32" s="7"/>
      <c r="L32" s="19" t="s">
        <v>104</v>
      </c>
      <c r="M32" s="40" t="s">
        <v>4</v>
      </c>
      <c r="N32" s="116"/>
      <c r="O32" s="6"/>
      <c r="P32" s="112" t="str">
        <f>IF(Tabela3[[#This Row],[RETIRADA APÓS CALIBRAÇÃO (STANDBY)]]="","",Tabela3[[#This Row],[RETIRADA APÓS CALIBRAÇÃO (STANDBY)]]+365)</f>
        <v/>
      </c>
    </row>
    <row r="33" spans="1:19" s="2" customFormat="1" ht="54.95" customHeight="1" x14ac:dyDescent="0.5">
      <c r="A33" s="39"/>
      <c r="B33" s="56" t="s">
        <v>111</v>
      </c>
      <c r="C33" s="9" t="s">
        <v>48</v>
      </c>
      <c r="D33" s="7" t="s">
        <v>106</v>
      </c>
      <c r="E33" s="9" t="s">
        <v>103</v>
      </c>
      <c r="F33" s="9">
        <v>150570</v>
      </c>
      <c r="G33" s="9"/>
      <c r="H33" s="9" t="s">
        <v>44</v>
      </c>
      <c r="I33" s="40"/>
      <c r="J33" s="7"/>
      <c r="K33" s="7"/>
      <c r="L33" s="19" t="s">
        <v>104</v>
      </c>
      <c r="M33" s="40" t="s">
        <v>4</v>
      </c>
      <c r="N33" s="116"/>
      <c r="O33" s="6"/>
      <c r="P33" s="112" t="str">
        <f>IF(Tabela3[[#This Row],[RETIRADA APÓS CALIBRAÇÃO (STANDBY)]]="","",Tabela3[[#This Row],[RETIRADA APÓS CALIBRAÇÃO (STANDBY)]]+365)</f>
        <v/>
      </c>
    </row>
    <row r="34" spans="1:19" s="2" customFormat="1" ht="54.95" customHeight="1" x14ac:dyDescent="0.5">
      <c r="A34" s="39"/>
      <c r="B34" s="58" t="s">
        <v>112</v>
      </c>
      <c r="C34" s="4" t="s">
        <v>113</v>
      </c>
      <c r="D34" s="4" t="s">
        <v>114</v>
      </c>
      <c r="E34" s="4" t="s">
        <v>115</v>
      </c>
      <c r="F34" s="4">
        <v>170726084</v>
      </c>
      <c r="G34" s="4" t="s">
        <v>50</v>
      </c>
      <c r="H34" s="9" t="s">
        <v>44</v>
      </c>
      <c r="I34" s="41"/>
      <c r="J34" s="5" t="s">
        <v>51</v>
      </c>
      <c r="K34" s="5"/>
      <c r="L34" s="19" t="s">
        <v>90</v>
      </c>
      <c r="M34" s="40" t="s">
        <v>4</v>
      </c>
      <c r="N34" s="116"/>
      <c r="O34" s="6"/>
      <c r="P34" s="112" t="str">
        <f>IF(Tabela3[[#This Row],[RETIRADA APÓS CALIBRAÇÃO (STANDBY)]]="","",Tabela3[[#This Row],[RETIRADA APÓS CALIBRAÇÃO (STANDBY)]]+365)</f>
        <v/>
      </c>
    </row>
    <row r="35" spans="1:19" s="2" customFormat="1" ht="54.95" customHeight="1" x14ac:dyDescent="0.5">
      <c r="A35" s="39"/>
      <c r="B35" s="58" t="s">
        <v>116</v>
      </c>
      <c r="C35" s="4" t="s">
        <v>117</v>
      </c>
      <c r="D35" s="4" t="s">
        <v>114</v>
      </c>
      <c r="E35" s="4" t="s">
        <v>115</v>
      </c>
      <c r="F35" s="4">
        <v>170729382</v>
      </c>
      <c r="G35" s="4" t="s">
        <v>50</v>
      </c>
      <c r="H35" s="9" t="s">
        <v>44</v>
      </c>
      <c r="I35" s="41"/>
      <c r="J35" s="5" t="s">
        <v>118</v>
      </c>
      <c r="K35" s="5"/>
      <c r="L35" s="19" t="s">
        <v>90</v>
      </c>
      <c r="M35" s="40" t="s">
        <v>4</v>
      </c>
      <c r="N35" s="116"/>
      <c r="O35" s="6"/>
      <c r="P35" s="112" t="str">
        <f>IF(Tabela3[[#This Row],[RETIRADA APÓS CALIBRAÇÃO (STANDBY)]]="","",Tabela3[[#This Row],[RETIRADA APÓS CALIBRAÇÃO (STANDBY)]]+365)</f>
        <v/>
      </c>
    </row>
    <row r="36" spans="1:19" s="2" customFormat="1" ht="54.95" customHeight="1" x14ac:dyDescent="0.5">
      <c r="A36" s="39"/>
      <c r="B36" s="56" t="s">
        <v>119</v>
      </c>
      <c r="C36" s="7" t="s">
        <v>120</v>
      </c>
      <c r="D36" s="7" t="s">
        <v>120</v>
      </c>
      <c r="E36" s="7" t="s">
        <v>90</v>
      </c>
      <c r="F36" s="7"/>
      <c r="G36" s="7"/>
      <c r="H36" s="7" t="s">
        <v>44</v>
      </c>
      <c r="I36" s="19"/>
      <c r="J36" s="7" t="s">
        <v>45</v>
      </c>
      <c r="K36" s="7"/>
      <c r="L36" s="19"/>
      <c r="M36" s="40" t="s">
        <v>4</v>
      </c>
      <c r="N36" s="116"/>
      <c r="O36" s="6"/>
      <c r="P36" s="125" t="str">
        <f>IF(Tabela3[[#This Row],[RETIRADA APÓS CALIBRAÇÃO (STANDBY)]]="","",Tabela3[[#This Row],[RETIRADA APÓS CALIBRAÇÃO (STANDBY)]]+365)</f>
        <v/>
      </c>
    </row>
    <row r="37" spans="1:19" s="2" customFormat="1" ht="54.95" customHeight="1" x14ac:dyDescent="0.5">
      <c r="A37" s="39"/>
      <c r="B37" s="14" t="s">
        <v>121</v>
      </c>
      <c r="C37" s="7" t="s">
        <v>122</v>
      </c>
      <c r="D37" s="7" t="s">
        <v>123</v>
      </c>
      <c r="E37" s="7" t="s">
        <v>124</v>
      </c>
      <c r="F37" s="7" t="s">
        <v>125</v>
      </c>
      <c r="G37" s="7"/>
      <c r="H37" s="7" t="s">
        <v>19</v>
      </c>
      <c r="I37" s="19"/>
      <c r="J37" s="7"/>
      <c r="K37" s="7"/>
      <c r="L37" s="19"/>
      <c r="M37" s="40" t="s">
        <v>2</v>
      </c>
      <c r="N37" s="116"/>
      <c r="O37" s="6"/>
      <c r="P37" s="125" t="str">
        <f>IF(Tabela3[[#This Row],[RETIRADA APÓS CALIBRAÇÃO (STANDBY)]]="","",Tabela3[[#This Row],[RETIRADA APÓS CALIBRAÇÃO (STANDBY)]]+365)</f>
        <v/>
      </c>
    </row>
    <row r="38" spans="1:19" s="2" customFormat="1" ht="54.95" customHeight="1" x14ac:dyDescent="0.5">
      <c r="A38" s="39"/>
      <c r="B38" s="56" t="s">
        <v>130</v>
      </c>
      <c r="C38" s="7" t="s">
        <v>131</v>
      </c>
      <c r="D38" s="7" t="s">
        <v>132</v>
      </c>
      <c r="E38" s="7" t="s">
        <v>129</v>
      </c>
      <c r="F38" s="7" t="s">
        <v>133</v>
      </c>
      <c r="G38" s="7"/>
      <c r="H38" s="7" t="s">
        <v>44</v>
      </c>
      <c r="I38" s="19" t="s">
        <v>134</v>
      </c>
      <c r="J38" s="7" t="s">
        <v>129</v>
      </c>
      <c r="K38" s="7"/>
      <c r="L38" s="19"/>
      <c r="M38" s="19" t="s">
        <v>4</v>
      </c>
      <c r="N38" s="114"/>
      <c r="O38" s="7"/>
      <c r="P38" s="112" t="str">
        <f>IF(Tabela3[[#This Row],[RETIRADA APÓS CALIBRAÇÃO (STANDBY)]]="","",Tabela3[[#This Row],[RETIRADA APÓS CALIBRAÇÃO (STANDBY)]]+365)</f>
        <v/>
      </c>
    </row>
    <row r="39" spans="1:19" s="2" customFormat="1" ht="54.95" customHeight="1" x14ac:dyDescent="0.5">
      <c r="A39" s="39"/>
      <c r="B39" s="56" t="s">
        <v>135</v>
      </c>
      <c r="C39" s="7" t="s">
        <v>131</v>
      </c>
      <c r="D39" s="7" t="s">
        <v>136</v>
      </c>
      <c r="E39" s="7" t="s">
        <v>137</v>
      </c>
      <c r="F39" s="7"/>
      <c r="G39" s="7"/>
      <c r="H39" s="7" t="s">
        <v>44</v>
      </c>
      <c r="I39" s="19"/>
      <c r="J39" s="7" t="s">
        <v>138</v>
      </c>
      <c r="K39" s="7"/>
      <c r="L39" s="19"/>
      <c r="M39" s="19" t="s">
        <v>4</v>
      </c>
      <c r="N39" s="114"/>
      <c r="O39" s="6"/>
      <c r="P39" s="112" t="str">
        <f>IF(Tabela3[[#This Row],[RETIRADA APÓS CALIBRAÇÃO (STANDBY)]]="","",Tabela3[[#This Row],[RETIRADA APÓS CALIBRAÇÃO (STANDBY)]]+365)</f>
        <v/>
      </c>
    </row>
    <row r="40" spans="1:19" s="2" customFormat="1" ht="54.95" customHeight="1" x14ac:dyDescent="0.5">
      <c r="A40" s="39"/>
      <c r="B40" s="56" t="s">
        <v>139</v>
      </c>
      <c r="C40" s="7" t="s">
        <v>131</v>
      </c>
      <c r="D40" s="7" t="s">
        <v>140</v>
      </c>
      <c r="E40" s="7" t="s">
        <v>137</v>
      </c>
      <c r="F40" s="7"/>
      <c r="G40" s="7"/>
      <c r="H40" s="7" t="s">
        <v>44</v>
      </c>
      <c r="I40" s="19"/>
      <c r="J40" s="7" t="s">
        <v>138</v>
      </c>
      <c r="K40" s="7"/>
      <c r="L40" s="19"/>
      <c r="M40" s="19" t="s">
        <v>4</v>
      </c>
      <c r="N40" s="114"/>
      <c r="O40" s="7"/>
      <c r="P40" s="112" t="str">
        <f>IF(Tabela3[[#This Row],[RETIRADA APÓS CALIBRAÇÃO (STANDBY)]]="","",Tabela3[[#This Row],[RETIRADA APÓS CALIBRAÇÃO (STANDBY)]]+365)</f>
        <v/>
      </c>
    </row>
    <row r="41" spans="1:19" s="2" customFormat="1" ht="54.95" customHeight="1" x14ac:dyDescent="0.5">
      <c r="A41" s="39"/>
      <c r="B41" s="56" t="s">
        <v>141</v>
      </c>
      <c r="C41" s="7" t="s">
        <v>131</v>
      </c>
      <c r="D41" s="7" t="s">
        <v>142</v>
      </c>
      <c r="E41" s="7" t="s">
        <v>143</v>
      </c>
      <c r="F41" s="7" t="s">
        <v>144</v>
      </c>
      <c r="G41" s="7"/>
      <c r="H41" s="7" t="s">
        <v>44</v>
      </c>
      <c r="I41" s="19"/>
      <c r="J41" s="7" t="s">
        <v>145</v>
      </c>
      <c r="K41" s="7"/>
      <c r="L41" s="19"/>
      <c r="M41" s="19" t="s">
        <v>4</v>
      </c>
      <c r="N41" s="114"/>
      <c r="O41" s="7"/>
      <c r="P41" s="112" t="str">
        <f>IF(Tabela3[[#This Row],[RETIRADA APÓS CALIBRAÇÃO (STANDBY)]]="","",Tabela3[[#This Row],[RETIRADA APÓS CALIBRAÇÃO (STANDBY)]]+365)</f>
        <v/>
      </c>
      <c r="S41" s="2" t="s">
        <v>146</v>
      </c>
    </row>
    <row r="42" spans="1:19" s="2" customFormat="1" ht="54.95" customHeight="1" x14ac:dyDescent="0.5">
      <c r="A42" s="39"/>
      <c r="B42" s="56" t="s">
        <v>147</v>
      </c>
      <c r="C42" s="7" t="s">
        <v>131</v>
      </c>
      <c r="D42" s="7" t="s">
        <v>148</v>
      </c>
      <c r="E42" s="7" t="s">
        <v>149</v>
      </c>
      <c r="F42" s="7" t="s">
        <v>150</v>
      </c>
      <c r="G42" s="7"/>
      <c r="H42" s="7" t="s">
        <v>44</v>
      </c>
      <c r="I42" s="19"/>
      <c r="J42" s="7" t="s">
        <v>151</v>
      </c>
      <c r="K42" s="7"/>
      <c r="L42" s="19"/>
      <c r="M42" s="19" t="s">
        <v>4</v>
      </c>
      <c r="N42" s="114"/>
      <c r="O42" s="7"/>
      <c r="P42" s="112" t="str">
        <f>IF(Tabela3[[#This Row],[RETIRADA APÓS CALIBRAÇÃO (STANDBY)]]="","",Tabela3[[#This Row],[RETIRADA APÓS CALIBRAÇÃO (STANDBY)]]+365)</f>
        <v/>
      </c>
    </row>
    <row r="43" spans="1:19" s="2" customFormat="1" ht="54.95" customHeight="1" x14ac:dyDescent="0.5">
      <c r="A43" s="39"/>
      <c r="B43" s="56" t="s">
        <v>152</v>
      </c>
      <c r="C43" s="7" t="s">
        <v>131</v>
      </c>
      <c r="D43" s="7" t="s">
        <v>153</v>
      </c>
      <c r="E43" s="7" t="s">
        <v>149</v>
      </c>
      <c r="F43" s="7" t="s">
        <v>154</v>
      </c>
      <c r="G43" s="7"/>
      <c r="H43" s="7" t="s">
        <v>44</v>
      </c>
      <c r="I43" s="19"/>
      <c r="J43" s="7" t="s">
        <v>151</v>
      </c>
      <c r="K43" s="7"/>
      <c r="L43" s="19"/>
      <c r="M43" s="19" t="s">
        <v>4</v>
      </c>
      <c r="N43" s="114"/>
      <c r="O43" s="7"/>
      <c r="P43" s="112" t="str">
        <f>IF(Tabela3[[#This Row],[RETIRADA APÓS CALIBRAÇÃO (STANDBY)]]="","",Tabela3[[#This Row],[RETIRADA APÓS CALIBRAÇÃO (STANDBY)]]+365)</f>
        <v/>
      </c>
    </row>
    <row r="44" spans="1:19" s="2" customFormat="1" ht="54.95" customHeight="1" x14ac:dyDescent="0.5">
      <c r="A44" s="39"/>
      <c r="B44" s="56" t="s">
        <v>155</v>
      </c>
      <c r="C44" s="7" t="s">
        <v>131</v>
      </c>
      <c r="D44" s="7" t="s">
        <v>156</v>
      </c>
      <c r="E44" s="7" t="s">
        <v>149</v>
      </c>
      <c r="F44" s="7" t="s">
        <v>157</v>
      </c>
      <c r="G44" s="7"/>
      <c r="H44" s="7" t="s">
        <v>44</v>
      </c>
      <c r="I44" s="19"/>
      <c r="J44" s="7" t="s">
        <v>151</v>
      </c>
      <c r="K44" s="7"/>
      <c r="L44" s="19"/>
      <c r="M44" s="19" t="s">
        <v>4</v>
      </c>
      <c r="N44" s="114"/>
      <c r="O44" s="7"/>
      <c r="P44" s="112" t="str">
        <f>IF(Tabela3[[#This Row],[RETIRADA APÓS CALIBRAÇÃO (STANDBY)]]="","",Tabela3[[#This Row],[RETIRADA APÓS CALIBRAÇÃO (STANDBY)]]+365)</f>
        <v/>
      </c>
    </row>
    <row r="45" spans="1:19" s="2" customFormat="1" ht="54.95" customHeight="1" x14ac:dyDescent="0.5">
      <c r="A45" s="39"/>
      <c r="B45" s="56" t="s">
        <v>158</v>
      </c>
      <c r="C45" s="7" t="s">
        <v>131</v>
      </c>
      <c r="D45" s="7" t="s">
        <v>159</v>
      </c>
      <c r="E45" s="7"/>
      <c r="F45" s="7"/>
      <c r="G45" s="7"/>
      <c r="H45" s="7" t="s">
        <v>44</v>
      </c>
      <c r="I45" s="19"/>
      <c r="J45" s="7" t="s">
        <v>160</v>
      </c>
      <c r="K45" s="7"/>
      <c r="L45" s="19"/>
      <c r="M45" s="19" t="s">
        <v>4</v>
      </c>
      <c r="N45" s="114"/>
      <c r="O45" s="7"/>
      <c r="P45" s="112" t="str">
        <f>IF(Tabela3[[#This Row],[RETIRADA APÓS CALIBRAÇÃO (STANDBY)]]="","",Tabela3[[#This Row],[RETIRADA APÓS CALIBRAÇÃO (STANDBY)]]+365)</f>
        <v/>
      </c>
    </row>
    <row r="46" spans="1:19" s="2" customFormat="1" ht="54.95" customHeight="1" x14ac:dyDescent="0.5">
      <c r="A46" s="39"/>
      <c r="B46" s="56" t="s">
        <v>161</v>
      </c>
      <c r="C46" s="7" t="s">
        <v>131</v>
      </c>
      <c r="D46" s="7" t="s">
        <v>162</v>
      </c>
      <c r="E46" s="7"/>
      <c r="F46" s="7" t="s">
        <v>163</v>
      </c>
      <c r="G46" s="7"/>
      <c r="H46" s="7" t="s">
        <v>44</v>
      </c>
      <c r="I46" s="19"/>
      <c r="J46" s="7" t="s">
        <v>145</v>
      </c>
      <c r="K46" s="7"/>
      <c r="L46" s="19"/>
      <c r="M46" s="19" t="s">
        <v>4</v>
      </c>
      <c r="N46" s="114"/>
      <c r="O46" s="7"/>
      <c r="P46" s="112" t="str">
        <f>IF(Tabela3[[#This Row],[RETIRADA APÓS CALIBRAÇÃO (STANDBY)]]="","",Tabela3[[#This Row],[RETIRADA APÓS CALIBRAÇÃO (STANDBY)]]+365)</f>
        <v/>
      </c>
    </row>
    <row r="47" spans="1:19" s="2" customFormat="1" ht="54.95" customHeight="1" x14ac:dyDescent="0.5">
      <c r="A47" s="39"/>
      <c r="B47" s="56" t="s">
        <v>164</v>
      </c>
      <c r="C47" s="7" t="s">
        <v>131</v>
      </c>
      <c r="D47" s="7" t="s">
        <v>165</v>
      </c>
      <c r="E47" s="7" t="s">
        <v>149</v>
      </c>
      <c r="F47" s="7" t="s">
        <v>166</v>
      </c>
      <c r="G47" s="7"/>
      <c r="H47" s="7" t="s">
        <v>44</v>
      </c>
      <c r="I47" s="19"/>
      <c r="J47" s="7" t="s">
        <v>145</v>
      </c>
      <c r="K47" s="7"/>
      <c r="L47" s="19"/>
      <c r="M47" s="19" t="s">
        <v>4</v>
      </c>
      <c r="N47" s="114"/>
      <c r="O47" s="7"/>
      <c r="P47" s="112" t="str">
        <f>IF(Tabela3[[#This Row],[RETIRADA APÓS CALIBRAÇÃO (STANDBY)]]="","",Tabela3[[#This Row],[RETIRADA APÓS CALIBRAÇÃO (STANDBY)]]+365)</f>
        <v/>
      </c>
    </row>
    <row r="48" spans="1:19" s="2" customFormat="1" ht="54.95" customHeight="1" x14ac:dyDescent="0.5">
      <c r="A48" s="39"/>
      <c r="B48" s="56" t="s">
        <v>167</v>
      </c>
      <c r="C48" s="7" t="s">
        <v>131</v>
      </c>
      <c r="D48" s="7" t="s">
        <v>168</v>
      </c>
      <c r="E48" s="7" t="s">
        <v>149</v>
      </c>
      <c r="F48" s="7" t="s">
        <v>169</v>
      </c>
      <c r="G48" s="7"/>
      <c r="H48" s="7" t="s">
        <v>44</v>
      </c>
      <c r="I48" s="19"/>
      <c r="J48" s="7" t="s">
        <v>145</v>
      </c>
      <c r="K48" s="7"/>
      <c r="L48" s="19"/>
      <c r="M48" s="19" t="s">
        <v>4</v>
      </c>
      <c r="N48" s="114"/>
      <c r="O48" s="7"/>
      <c r="P48" s="112" t="str">
        <f>IF(Tabela3[[#This Row],[RETIRADA APÓS CALIBRAÇÃO (STANDBY)]]="","",Tabela3[[#This Row],[RETIRADA APÓS CALIBRAÇÃO (STANDBY)]]+365)</f>
        <v/>
      </c>
    </row>
    <row r="49" spans="1:16" s="2" customFormat="1" ht="54.95" customHeight="1" x14ac:dyDescent="0.5">
      <c r="A49" s="39"/>
      <c r="B49" s="56" t="s">
        <v>170</v>
      </c>
      <c r="C49" s="38" t="s">
        <v>131</v>
      </c>
      <c r="D49" s="7" t="s">
        <v>171</v>
      </c>
      <c r="E49" s="7" t="s">
        <v>143</v>
      </c>
      <c r="F49" s="7" t="s">
        <v>172</v>
      </c>
      <c r="G49" s="7"/>
      <c r="H49" s="7" t="s">
        <v>44</v>
      </c>
      <c r="I49" s="19"/>
      <c r="J49" s="7" t="s">
        <v>138</v>
      </c>
      <c r="K49" s="7"/>
      <c r="L49" s="19"/>
      <c r="M49" s="19" t="s">
        <v>4</v>
      </c>
      <c r="N49" s="114"/>
      <c r="O49" s="7"/>
      <c r="P49" s="112" t="str">
        <f>IF(Tabela3[[#This Row],[RETIRADA APÓS CALIBRAÇÃO (STANDBY)]]="","",Tabela3[[#This Row],[RETIRADA APÓS CALIBRAÇÃO (STANDBY)]]+365)</f>
        <v/>
      </c>
    </row>
    <row r="50" spans="1:16" s="2" customFormat="1" ht="54.95" customHeight="1" x14ac:dyDescent="0.5">
      <c r="A50" s="39"/>
      <c r="B50" s="56" t="s">
        <v>173</v>
      </c>
      <c r="C50" s="7" t="s">
        <v>131</v>
      </c>
      <c r="D50" s="7" t="s">
        <v>174</v>
      </c>
      <c r="E50" s="7" t="s">
        <v>137</v>
      </c>
      <c r="F50" s="7"/>
      <c r="G50" s="7"/>
      <c r="H50" s="7" t="s">
        <v>44</v>
      </c>
      <c r="I50" s="19"/>
      <c r="J50" s="7" t="s">
        <v>138</v>
      </c>
      <c r="K50" s="7"/>
      <c r="L50" s="19"/>
      <c r="M50" s="19" t="s">
        <v>4</v>
      </c>
      <c r="N50" s="114"/>
      <c r="O50" s="7"/>
      <c r="P50" s="112" t="str">
        <f>IF(Tabela3[[#This Row],[RETIRADA APÓS CALIBRAÇÃO (STANDBY)]]="","",Tabela3[[#This Row],[RETIRADA APÓS CALIBRAÇÃO (STANDBY)]]+365)</f>
        <v/>
      </c>
    </row>
    <row r="51" spans="1:16" s="2" customFormat="1" ht="54.95" customHeight="1" x14ac:dyDescent="0.5">
      <c r="A51" s="39"/>
      <c r="B51" s="56" t="s">
        <v>175</v>
      </c>
      <c r="C51" s="7" t="s">
        <v>131</v>
      </c>
      <c r="D51" s="7" t="s">
        <v>176</v>
      </c>
      <c r="E51" s="7" t="s">
        <v>137</v>
      </c>
      <c r="F51" s="7"/>
      <c r="G51" s="7"/>
      <c r="H51" s="7" t="s">
        <v>44</v>
      </c>
      <c r="I51" s="19"/>
      <c r="J51" s="7" t="s">
        <v>138</v>
      </c>
      <c r="K51" s="7"/>
      <c r="L51" s="19"/>
      <c r="M51" s="19" t="s">
        <v>4</v>
      </c>
      <c r="N51" s="114"/>
      <c r="O51" s="7"/>
      <c r="P51" s="112" t="str">
        <f>IF(Tabela3[[#This Row],[RETIRADA APÓS CALIBRAÇÃO (STANDBY)]]="","",Tabela3[[#This Row],[RETIRADA APÓS CALIBRAÇÃO (STANDBY)]]+365)</f>
        <v/>
      </c>
    </row>
    <row r="52" spans="1:16" s="2" customFormat="1" ht="54.95" customHeight="1" x14ac:dyDescent="0.5">
      <c r="A52" s="39"/>
      <c r="B52" s="56" t="s">
        <v>177</v>
      </c>
      <c r="C52" s="7" t="s">
        <v>131</v>
      </c>
      <c r="D52" s="7" t="s">
        <v>178</v>
      </c>
      <c r="E52" s="7" t="s">
        <v>143</v>
      </c>
      <c r="F52" s="7" t="s">
        <v>179</v>
      </c>
      <c r="G52" s="7"/>
      <c r="H52" s="7" t="s">
        <v>44</v>
      </c>
      <c r="I52" s="19"/>
      <c r="J52" s="7" t="s">
        <v>160</v>
      </c>
      <c r="K52" s="7"/>
      <c r="L52" s="19"/>
      <c r="M52" s="19" t="s">
        <v>4</v>
      </c>
      <c r="N52" s="114"/>
      <c r="O52" s="7"/>
      <c r="P52" s="112" t="str">
        <f>IF(Tabela3[[#This Row],[RETIRADA APÓS CALIBRAÇÃO (STANDBY)]]="","",Tabela3[[#This Row],[RETIRADA APÓS CALIBRAÇÃO (STANDBY)]]+365)</f>
        <v/>
      </c>
    </row>
    <row r="53" spans="1:16" s="2" customFormat="1" ht="54.95" customHeight="1" x14ac:dyDescent="0.5">
      <c r="A53" s="39"/>
      <c r="B53" s="56" t="s">
        <v>180</v>
      </c>
      <c r="C53" s="7" t="s">
        <v>131</v>
      </c>
      <c r="D53" s="7" t="s">
        <v>159</v>
      </c>
      <c r="E53" s="7"/>
      <c r="F53" s="7"/>
      <c r="G53" s="7"/>
      <c r="H53" s="7" t="s">
        <v>44</v>
      </c>
      <c r="I53" s="59"/>
      <c r="J53" s="15" t="s">
        <v>160</v>
      </c>
      <c r="K53" s="15"/>
      <c r="L53" s="19"/>
      <c r="M53" s="19" t="s">
        <v>4</v>
      </c>
      <c r="N53" s="114"/>
      <c r="O53" s="7"/>
      <c r="P53" s="112" t="str">
        <f>IF(Tabela3[[#This Row],[RETIRADA APÓS CALIBRAÇÃO (STANDBY)]]="","",Tabela3[[#This Row],[RETIRADA APÓS CALIBRAÇÃO (STANDBY)]]+365)</f>
        <v/>
      </c>
    </row>
    <row r="54" spans="1:16" s="2" customFormat="1" ht="54.95" customHeight="1" x14ac:dyDescent="0.5">
      <c r="A54" s="39"/>
      <c r="B54" s="56" t="s">
        <v>181</v>
      </c>
      <c r="C54" s="7" t="s">
        <v>131</v>
      </c>
      <c r="D54" s="7" t="s">
        <v>182</v>
      </c>
      <c r="E54" s="7" t="s">
        <v>143</v>
      </c>
      <c r="F54" s="7" t="s">
        <v>183</v>
      </c>
      <c r="G54" s="7"/>
      <c r="H54" s="7" t="s">
        <v>44</v>
      </c>
      <c r="I54" s="59"/>
      <c r="J54" s="15" t="s">
        <v>160</v>
      </c>
      <c r="K54" s="15"/>
      <c r="L54" s="19"/>
      <c r="M54" s="19" t="s">
        <v>4</v>
      </c>
      <c r="N54" s="114"/>
      <c r="O54" s="7"/>
      <c r="P54" s="112" t="str">
        <f>IF(Tabela3[[#This Row],[RETIRADA APÓS CALIBRAÇÃO (STANDBY)]]="","",Tabela3[[#This Row],[RETIRADA APÓS CALIBRAÇÃO (STANDBY)]]+365)</f>
        <v/>
      </c>
    </row>
    <row r="55" spans="1:16" s="2" customFormat="1" ht="54.95" customHeight="1" x14ac:dyDescent="0.5">
      <c r="A55" s="39"/>
      <c r="B55" s="56" t="s">
        <v>184</v>
      </c>
      <c r="C55" s="7" t="s">
        <v>131</v>
      </c>
      <c r="D55" s="7" t="s">
        <v>185</v>
      </c>
      <c r="E55" s="7" t="s">
        <v>149</v>
      </c>
      <c r="F55" s="7" t="s">
        <v>186</v>
      </c>
      <c r="G55" s="7"/>
      <c r="H55" s="7" t="s">
        <v>44</v>
      </c>
      <c r="I55" s="59"/>
      <c r="J55" s="15" t="s">
        <v>151</v>
      </c>
      <c r="K55" s="15"/>
      <c r="L55" s="19"/>
      <c r="M55" s="19" t="s">
        <v>4</v>
      </c>
      <c r="N55" s="114"/>
      <c r="O55" s="7"/>
      <c r="P55" s="112" t="str">
        <f>IF(Tabela3[[#This Row],[RETIRADA APÓS CALIBRAÇÃO (STANDBY)]]="","",Tabela3[[#This Row],[RETIRADA APÓS CALIBRAÇÃO (STANDBY)]]+365)</f>
        <v/>
      </c>
    </row>
    <row r="56" spans="1:16" s="2" customFormat="1" ht="54.95" customHeight="1" x14ac:dyDescent="0.5">
      <c r="A56" s="39"/>
      <c r="B56" s="56" t="s">
        <v>187</v>
      </c>
      <c r="C56" s="7" t="s">
        <v>131</v>
      </c>
      <c r="D56" s="7" t="s">
        <v>188</v>
      </c>
      <c r="E56" s="7" t="s">
        <v>189</v>
      </c>
      <c r="F56" s="7" t="s">
        <v>190</v>
      </c>
      <c r="G56" s="7"/>
      <c r="H56" s="7" t="s">
        <v>44</v>
      </c>
      <c r="I56" s="19"/>
      <c r="J56" s="7" t="s">
        <v>191</v>
      </c>
      <c r="K56" s="7"/>
      <c r="L56" s="19"/>
      <c r="M56" s="19" t="s">
        <v>4</v>
      </c>
      <c r="N56" s="114"/>
      <c r="O56" s="7"/>
      <c r="P56" s="112" t="str">
        <f>IF(Tabela3[[#This Row],[RETIRADA APÓS CALIBRAÇÃO (STANDBY)]]="","",Tabela3[[#This Row],[RETIRADA APÓS CALIBRAÇÃO (STANDBY)]]+365)</f>
        <v/>
      </c>
    </row>
    <row r="57" spans="1:16" s="2" customFormat="1" ht="54.95" customHeight="1" x14ac:dyDescent="0.5">
      <c r="A57" s="39"/>
      <c r="B57" s="56" t="s">
        <v>192</v>
      </c>
      <c r="C57" s="7" t="s">
        <v>131</v>
      </c>
      <c r="D57" s="7" t="s">
        <v>193</v>
      </c>
      <c r="E57" s="7"/>
      <c r="F57" s="19" t="s">
        <v>194</v>
      </c>
      <c r="G57" s="7"/>
      <c r="H57" s="7" t="s">
        <v>44</v>
      </c>
      <c r="I57" s="19"/>
      <c r="J57" s="7" t="s">
        <v>145</v>
      </c>
      <c r="K57" s="7"/>
      <c r="L57" s="19"/>
      <c r="M57" s="19" t="s">
        <v>4</v>
      </c>
      <c r="N57" s="114"/>
      <c r="O57" s="7"/>
      <c r="P57" s="112" t="str">
        <f>IF(Tabela3[[#This Row],[RETIRADA APÓS CALIBRAÇÃO (STANDBY)]]="","",Tabela3[[#This Row],[RETIRADA APÓS CALIBRAÇÃO (STANDBY)]]+365)</f>
        <v/>
      </c>
    </row>
    <row r="58" spans="1:16" s="2" customFormat="1" ht="54.95" customHeight="1" x14ac:dyDescent="0.5">
      <c r="A58" s="39"/>
      <c r="B58" s="56" t="s">
        <v>195</v>
      </c>
      <c r="C58" s="7" t="s">
        <v>131</v>
      </c>
      <c r="D58" s="7" t="s">
        <v>196</v>
      </c>
      <c r="E58" s="7"/>
      <c r="F58" s="7"/>
      <c r="G58" s="7"/>
      <c r="H58" s="7" t="s">
        <v>44</v>
      </c>
      <c r="I58" s="19"/>
      <c r="J58" s="7" t="s">
        <v>138</v>
      </c>
      <c r="K58" s="7"/>
      <c r="L58" s="19"/>
      <c r="M58" s="19" t="s">
        <v>4</v>
      </c>
      <c r="N58" s="114"/>
      <c r="O58" s="7"/>
      <c r="P58" s="112" t="str">
        <f>IF(Tabela3[[#This Row],[RETIRADA APÓS CALIBRAÇÃO (STANDBY)]]="","",Tabela3[[#This Row],[RETIRADA APÓS CALIBRAÇÃO (STANDBY)]]+365)</f>
        <v/>
      </c>
    </row>
    <row r="59" spans="1:16" s="2" customFormat="1" ht="54.95" customHeight="1" x14ac:dyDescent="0.5">
      <c r="A59" s="39"/>
      <c r="B59" s="56" t="s">
        <v>197</v>
      </c>
      <c r="C59" s="7" t="s">
        <v>131</v>
      </c>
      <c r="D59" s="7" t="s">
        <v>198</v>
      </c>
      <c r="E59" s="7" t="s">
        <v>199</v>
      </c>
      <c r="F59" s="7"/>
      <c r="G59" s="7"/>
      <c r="H59" s="7" t="s">
        <v>44</v>
      </c>
      <c r="I59" s="19"/>
      <c r="J59" s="7" t="s">
        <v>151</v>
      </c>
      <c r="K59" s="7"/>
      <c r="L59" s="19"/>
      <c r="M59" s="19" t="s">
        <v>4</v>
      </c>
      <c r="N59" s="114"/>
      <c r="O59" s="7"/>
      <c r="P59" s="112" t="str">
        <f>IF(Tabela3[[#This Row],[RETIRADA APÓS CALIBRAÇÃO (STANDBY)]]="","",Tabela3[[#This Row],[RETIRADA APÓS CALIBRAÇÃO (STANDBY)]]+365)</f>
        <v/>
      </c>
    </row>
    <row r="60" spans="1:16" s="2" customFormat="1" ht="54.95" customHeight="1" x14ac:dyDescent="0.5">
      <c r="A60" s="39"/>
      <c r="B60" s="56" t="s">
        <v>200</v>
      </c>
      <c r="C60" s="7" t="s">
        <v>131</v>
      </c>
      <c r="D60" s="7" t="s">
        <v>201</v>
      </c>
      <c r="E60" s="7" t="s">
        <v>199</v>
      </c>
      <c r="F60" s="7"/>
      <c r="G60" s="7"/>
      <c r="H60" s="7" t="s">
        <v>44</v>
      </c>
      <c r="I60" s="19"/>
      <c r="J60" s="7" t="s">
        <v>151</v>
      </c>
      <c r="K60" s="7"/>
      <c r="L60" s="19"/>
      <c r="M60" s="19" t="s">
        <v>4</v>
      </c>
      <c r="N60" s="114"/>
      <c r="O60" s="7"/>
      <c r="P60" s="112" t="str">
        <f>IF(Tabela3[[#This Row],[RETIRADA APÓS CALIBRAÇÃO (STANDBY)]]="","",Tabela3[[#This Row],[RETIRADA APÓS CALIBRAÇÃO (STANDBY)]]+365)</f>
        <v/>
      </c>
    </row>
    <row r="61" spans="1:16" s="2" customFormat="1" ht="54.95" customHeight="1" x14ac:dyDescent="0.5">
      <c r="A61" s="39"/>
      <c r="B61" s="56" t="s">
        <v>202</v>
      </c>
      <c r="C61" s="7" t="s">
        <v>131</v>
      </c>
      <c r="D61" s="7" t="s">
        <v>203</v>
      </c>
      <c r="E61" s="7"/>
      <c r="F61" s="7" t="s">
        <v>204</v>
      </c>
      <c r="G61" s="7"/>
      <c r="H61" s="7" t="s">
        <v>44</v>
      </c>
      <c r="I61" s="19"/>
      <c r="J61" s="7" t="s">
        <v>145</v>
      </c>
      <c r="K61" s="7"/>
      <c r="L61" s="19"/>
      <c r="M61" s="19" t="s">
        <v>4</v>
      </c>
      <c r="N61" s="114"/>
      <c r="O61" s="7"/>
      <c r="P61" s="112" t="str">
        <f>IF(Tabela3[[#This Row],[RETIRADA APÓS CALIBRAÇÃO (STANDBY)]]="","",Tabela3[[#This Row],[RETIRADA APÓS CALIBRAÇÃO (STANDBY)]]+365)</f>
        <v/>
      </c>
    </row>
    <row r="62" spans="1:16" s="2" customFormat="1" ht="54.95" customHeight="1" x14ac:dyDescent="0.5">
      <c r="A62" s="39"/>
      <c r="B62" s="56" t="s">
        <v>205</v>
      </c>
      <c r="C62" s="7" t="s">
        <v>131</v>
      </c>
      <c r="D62" s="7" t="s">
        <v>206</v>
      </c>
      <c r="E62" s="7"/>
      <c r="F62" s="7" t="s">
        <v>207</v>
      </c>
      <c r="G62" s="7"/>
      <c r="H62" s="7" t="s">
        <v>44</v>
      </c>
      <c r="I62" s="19"/>
      <c r="J62" s="7" t="s">
        <v>191</v>
      </c>
      <c r="K62" s="7"/>
      <c r="L62" s="19"/>
      <c r="M62" s="19" t="s">
        <v>4</v>
      </c>
      <c r="N62" s="114"/>
      <c r="O62" s="7"/>
      <c r="P62" s="112" t="str">
        <f>IF(Tabela3[[#This Row],[RETIRADA APÓS CALIBRAÇÃO (STANDBY)]]="","",Tabela3[[#This Row],[RETIRADA APÓS CALIBRAÇÃO (STANDBY)]]+365)</f>
        <v/>
      </c>
    </row>
    <row r="63" spans="1:16" s="2" customFormat="1" ht="54.95" customHeight="1" x14ac:dyDescent="0.5">
      <c r="A63" s="39"/>
      <c r="B63" s="56" t="s">
        <v>208</v>
      </c>
      <c r="C63" s="7" t="s">
        <v>209</v>
      </c>
      <c r="D63" s="7" t="s">
        <v>210</v>
      </c>
      <c r="E63" s="7" t="s">
        <v>211</v>
      </c>
      <c r="F63" s="7">
        <v>310507</v>
      </c>
      <c r="G63" s="7"/>
      <c r="H63" s="7" t="s">
        <v>44</v>
      </c>
      <c r="I63" s="19"/>
      <c r="J63" s="7" t="s">
        <v>151</v>
      </c>
      <c r="K63" s="7"/>
      <c r="L63" s="19"/>
      <c r="M63" s="19" t="s">
        <v>4</v>
      </c>
      <c r="N63" s="114"/>
      <c r="O63" s="7"/>
      <c r="P63" s="112" t="str">
        <f>IF(Tabela3[[#This Row],[RETIRADA APÓS CALIBRAÇÃO (STANDBY)]]="","",Tabela3[[#This Row],[RETIRADA APÓS CALIBRAÇÃO (STANDBY)]]+365)</f>
        <v/>
      </c>
    </row>
    <row r="64" spans="1:16" s="2" customFormat="1" ht="54.95" customHeight="1" x14ac:dyDescent="0.5">
      <c r="A64" s="39"/>
      <c r="B64" s="56" t="s">
        <v>212</v>
      </c>
      <c r="C64" s="7" t="s">
        <v>209</v>
      </c>
      <c r="D64" s="7" t="s">
        <v>210</v>
      </c>
      <c r="E64" s="7" t="s">
        <v>211</v>
      </c>
      <c r="F64" s="7">
        <v>280207</v>
      </c>
      <c r="G64" s="7"/>
      <c r="H64" s="7" t="s">
        <v>44</v>
      </c>
      <c r="I64" s="19"/>
      <c r="J64" s="7" t="s">
        <v>151</v>
      </c>
      <c r="K64" s="7"/>
      <c r="L64" s="19"/>
      <c r="M64" s="19" t="s">
        <v>4</v>
      </c>
      <c r="N64" s="114"/>
      <c r="O64" s="7"/>
      <c r="P64" s="112" t="str">
        <f>IF(Tabela3[[#This Row],[RETIRADA APÓS CALIBRAÇÃO (STANDBY)]]="","",Tabela3[[#This Row],[RETIRADA APÓS CALIBRAÇÃO (STANDBY)]]+365)</f>
        <v/>
      </c>
    </row>
    <row r="65" spans="1:16" s="2" customFormat="1" ht="54.95" customHeight="1" x14ac:dyDescent="0.5">
      <c r="A65" s="39"/>
      <c r="B65" s="56" t="s">
        <v>213</v>
      </c>
      <c r="C65" s="7" t="s">
        <v>209</v>
      </c>
      <c r="D65" s="7" t="s">
        <v>214</v>
      </c>
      <c r="E65" s="7" t="s">
        <v>211</v>
      </c>
      <c r="F65" s="7">
        <v>310507</v>
      </c>
      <c r="G65" s="7"/>
      <c r="H65" s="7" t="s">
        <v>44</v>
      </c>
      <c r="I65" s="19"/>
      <c r="J65" s="7" t="s">
        <v>151</v>
      </c>
      <c r="K65" s="7"/>
      <c r="L65" s="19"/>
      <c r="M65" s="19" t="s">
        <v>4</v>
      </c>
      <c r="N65" s="114"/>
      <c r="O65" s="7"/>
      <c r="P65" s="112" t="str">
        <f>IF(Tabela3[[#This Row],[RETIRADA APÓS CALIBRAÇÃO (STANDBY)]]="","",Tabela3[[#This Row],[RETIRADA APÓS CALIBRAÇÃO (STANDBY)]]+365)</f>
        <v/>
      </c>
    </row>
    <row r="66" spans="1:16" s="2" customFormat="1" ht="54.95" customHeight="1" x14ac:dyDescent="0.5">
      <c r="A66" s="39"/>
      <c r="B66" s="56" t="s">
        <v>215</v>
      </c>
      <c r="C66" s="7" t="s">
        <v>209</v>
      </c>
      <c r="D66" s="7" t="s">
        <v>214</v>
      </c>
      <c r="E66" s="7" t="s">
        <v>211</v>
      </c>
      <c r="F66" s="7">
        <v>280207</v>
      </c>
      <c r="G66" s="7"/>
      <c r="H66" s="7" t="s">
        <v>44</v>
      </c>
      <c r="I66" s="19"/>
      <c r="J66" s="7" t="s">
        <v>151</v>
      </c>
      <c r="K66" s="7"/>
      <c r="L66" s="19"/>
      <c r="M66" s="19" t="s">
        <v>4</v>
      </c>
      <c r="N66" s="114"/>
      <c r="O66" s="7"/>
      <c r="P66" s="112" t="str">
        <f>IF(Tabela3[[#This Row],[RETIRADA APÓS CALIBRAÇÃO (STANDBY)]]="","",Tabela3[[#This Row],[RETIRADA APÓS CALIBRAÇÃO (STANDBY)]]+365)</f>
        <v/>
      </c>
    </row>
    <row r="67" spans="1:16" s="2" customFormat="1" ht="54.95" customHeight="1" x14ac:dyDescent="0.5">
      <c r="A67" s="39"/>
      <c r="B67" s="56" t="s">
        <v>216</v>
      </c>
      <c r="C67" s="7" t="s">
        <v>209</v>
      </c>
      <c r="D67" s="7" t="s">
        <v>217</v>
      </c>
      <c r="E67" s="7" t="s">
        <v>211</v>
      </c>
      <c r="F67" s="7" t="s">
        <v>218</v>
      </c>
      <c r="G67" s="7"/>
      <c r="H67" s="7" t="s">
        <v>44</v>
      </c>
      <c r="I67" s="19"/>
      <c r="J67" s="7" t="s">
        <v>151</v>
      </c>
      <c r="K67" s="7"/>
      <c r="L67" s="19"/>
      <c r="M67" s="19" t="s">
        <v>4</v>
      </c>
      <c r="N67" s="114"/>
      <c r="O67" s="7"/>
      <c r="P67" s="112" t="str">
        <f>IF(Tabela3[[#This Row],[RETIRADA APÓS CALIBRAÇÃO (STANDBY)]]="","",Tabela3[[#This Row],[RETIRADA APÓS CALIBRAÇÃO (STANDBY)]]+365)</f>
        <v/>
      </c>
    </row>
    <row r="68" spans="1:16" s="2" customFormat="1" ht="54.95" customHeight="1" x14ac:dyDescent="0.5">
      <c r="A68" s="39"/>
      <c r="B68" s="56" t="s">
        <v>219</v>
      </c>
      <c r="C68" s="7" t="s">
        <v>209</v>
      </c>
      <c r="D68" s="7" t="s">
        <v>220</v>
      </c>
      <c r="E68" s="7" t="s">
        <v>149</v>
      </c>
      <c r="F68" s="7" t="s">
        <v>221</v>
      </c>
      <c r="G68" s="7"/>
      <c r="H68" s="7" t="s">
        <v>44</v>
      </c>
      <c r="I68" s="19"/>
      <c r="J68" s="7" t="s">
        <v>151</v>
      </c>
      <c r="K68" s="7"/>
      <c r="L68" s="19"/>
      <c r="M68" s="19" t="s">
        <v>4</v>
      </c>
      <c r="N68" s="114"/>
      <c r="O68" s="7"/>
      <c r="P68" s="112" t="str">
        <f>IF(Tabela3[[#This Row],[RETIRADA APÓS CALIBRAÇÃO (STANDBY)]]="","",Tabela3[[#This Row],[RETIRADA APÓS CALIBRAÇÃO (STANDBY)]]+365)</f>
        <v/>
      </c>
    </row>
    <row r="69" spans="1:16" s="2" customFormat="1" ht="54.95" customHeight="1" x14ac:dyDescent="0.5">
      <c r="A69" s="39"/>
      <c r="B69" s="56" t="s">
        <v>222</v>
      </c>
      <c r="C69" s="7" t="s">
        <v>209</v>
      </c>
      <c r="D69" s="7" t="s">
        <v>223</v>
      </c>
      <c r="E69" s="7" t="s">
        <v>149</v>
      </c>
      <c r="F69" s="7" t="s">
        <v>224</v>
      </c>
      <c r="G69" s="7"/>
      <c r="H69" s="7" t="s">
        <v>44</v>
      </c>
      <c r="I69" s="19"/>
      <c r="J69" s="7" t="s">
        <v>151</v>
      </c>
      <c r="K69" s="7"/>
      <c r="L69" s="19"/>
      <c r="M69" s="19" t="s">
        <v>4</v>
      </c>
      <c r="N69" s="114"/>
      <c r="O69" s="7"/>
      <c r="P69" s="112" t="str">
        <f>IF(Tabela3[[#This Row],[RETIRADA APÓS CALIBRAÇÃO (STANDBY)]]="","",Tabela3[[#This Row],[RETIRADA APÓS CALIBRAÇÃO (STANDBY)]]+365)</f>
        <v/>
      </c>
    </row>
    <row r="70" spans="1:16" s="2" customFormat="1" ht="54.95" customHeight="1" x14ac:dyDescent="0.5">
      <c r="A70" s="39"/>
      <c r="B70" s="56" t="s">
        <v>225</v>
      </c>
      <c r="C70" s="7" t="s">
        <v>209</v>
      </c>
      <c r="D70" s="7" t="s">
        <v>226</v>
      </c>
      <c r="E70" s="7" t="s">
        <v>149</v>
      </c>
      <c r="F70" s="7" t="s">
        <v>227</v>
      </c>
      <c r="G70" s="7"/>
      <c r="H70" s="7" t="s">
        <v>44</v>
      </c>
      <c r="I70" s="19"/>
      <c r="J70" s="7" t="s">
        <v>151</v>
      </c>
      <c r="K70" s="7"/>
      <c r="L70" s="19"/>
      <c r="M70" s="19" t="s">
        <v>4</v>
      </c>
      <c r="N70" s="114"/>
      <c r="O70" s="7"/>
      <c r="P70" s="112" t="str">
        <f>IF(Tabela3[[#This Row],[RETIRADA APÓS CALIBRAÇÃO (STANDBY)]]="","",Tabela3[[#This Row],[RETIRADA APÓS CALIBRAÇÃO (STANDBY)]]+365)</f>
        <v/>
      </c>
    </row>
    <row r="71" spans="1:16" s="2" customFormat="1" ht="54.95" customHeight="1" x14ac:dyDescent="0.5">
      <c r="A71" s="39"/>
      <c r="B71" s="56" t="s">
        <v>228</v>
      </c>
      <c r="C71" s="7" t="s">
        <v>209</v>
      </c>
      <c r="D71" s="7" t="s">
        <v>229</v>
      </c>
      <c r="E71" s="7" t="s">
        <v>211</v>
      </c>
      <c r="F71" s="7">
        <v>2209765</v>
      </c>
      <c r="G71" s="7"/>
      <c r="H71" s="7" t="s">
        <v>44</v>
      </c>
      <c r="I71" s="19"/>
      <c r="J71" s="7" t="s">
        <v>151</v>
      </c>
      <c r="K71" s="7"/>
      <c r="L71" s="19"/>
      <c r="M71" s="19" t="s">
        <v>4</v>
      </c>
      <c r="N71" s="114"/>
      <c r="O71" s="7"/>
      <c r="P71" s="112" t="str">
        <f>IF(Tabela3[[#This Row],[RETIRADA APÓS CALIBRAÇÃO (STANDBY)]]="","",Tabela3[[#This Row],[RETIRADA APÓS CALIBRAÇÃO (STANDBY)]]+365)</f>
        <v/>
      </c>
    </row>
    <row r="72" spans="1:16" s="2" customFormat="1" ht="54.95" customHeight="1" x14ac:dyDescent="0.5">
      <c r="A72" s="39"/>
      <c r="B72" s="56" t="s">
        <v>230</v>
      </c>
      <c r="C72" s="7" t="s">
        <v>209</v>
      </c>
      <c r="D72" s="7" t="s">
        <v>231</v>
      </c>
      <c r="E72" s="7" t="s">
        <v>143</v>
      </c>
      <c r="F72" s="7" t="s">
        <v>232</v>
      </c>
      <c r="G72" s="7"/>
      <c r="H72" s="7" t="s">
        <v>44</v>
      </c>
      <c r="I72" s="19"/>
      <c r="J72" s="7" t="s">
        <v>160</v>
      </c>
      <c r="K72" s="7"/>
      <c r="L72" s="19"/>
      <c r="M72" s="19" t="s">
        <v>4</v>
      </c>
      <c r="N72" s="114"/>
      <c r="O72" s="7"/>
      <c r="P72" s="112" t="str">
        <f>IF(Tabela3[[#This Row],[RETIRADA APÓS CALIBRAÇÃO (STANDBY)]]="","",Tabela3[[#This Row],[RETIRADA APÓS CALIBRAÇÃO (STANDBY)]]+365)</f>
        <v/>
      </c>
    </row>
    <row r="73" spans="1:16" s="2" customFormat="1" ht="54.95" customHeight="1" x14ac:dyDescent="0.5">
      <c r="A73" s="39"/>
      <c r="B73" s="56" t="s">
        <v>233</v>
      </c>
      <c r="C73" s="7" t="s">
        <v>209</v>
      </c>
      <c r="D73" s="7" t="s">
        <v>234</v>
      </c>
      <c r="E73" s="7" t="s">
        <v>143</v>
      </c>
      <c r="F73" s="7" t="s">
        <v>235</v>
      </c>
      <c r="G73" s="7"/>
      <c r="H73" s="7" t="s">
        <v>44</v>
      </c>
      <c r="I73" s="19"/>
      <c r="J73" s="7" t="s">
        <v>160</v>
      </c>
      <c r="K73" s="7"/>
      <c r="L73" s="19"/>
      <c r="M73" s="19" t="s">
        <v>4</v>
      </c>
      <c r="N73" s="114"/>
      <c r="O73" s="7"/>
      <c r="P73" s="112" t="str">
        <f>IF(Tabela3[[#This Row],[RETIRADA APÓS CALIBRAÇÃO (STANDBY)]]="","",Tabela3[[#This Row],[RETIRADA APÓS CALIBRAÇÃO (STANDBY)]]+365)</f>
        <v/>
      </c>
    </row>
    <row r="74" spans="1:16" s="2" customFormat="1" ht="54.95" customHeight="1" x14ac:dyDescent="0.5">
      <c r="A74" s="39"/>
      <c r="B74" s="56" t="s">
        <v>236</v>
      </c>
      <c r="C74" s="7" t="s">
        <v>209</v>
      </c>
      <c r="D74" s="7" t="s">
        <v>237</v>
      </c>
      <c r="E74" s="7" t="s">
        <v>137</v>
      </c>
      <c r="F74" s="7" t="s">
        <v>129</v>
      </c>
      <c r="G74" s="7"/>
      <c r="H74" s="7" t="s">
        <v>44</v>
      </c>
      <c r="I74" s="19"/>
      <c r="J74" s="7" t="s">
        <v>138</v>
      </c>
      <c r="K74" s="7"/>
      <c r="L74" s="19"/>
      <c r="M74" s="19" t="s">
        <v>4</v>
      </c>
      <c r="N74" s="114"/>
      <c r="O74" s="7"/>
      <c r="P74" s="112" t="str">
        <f>IF(Tabela3[[#This Row],[RETIRADA APÓS CALIBRAÇÃO (STANDBY)]]="","",Tabela3[[#This Row],[RETIRADA APÓS CALIBRAÇÃO (STANDBY)]]+365)</f>
        <v/>
      </c>
    </row>
    <row r="75" spans="1:16" s="2" customFormat="1" ht="54.95" customHeight="1" x14ac:dyDescent="0.5">
      <c r="A75" s="39"/>
      <c r="B75" s="56" t="s">
        <v>238</v>
      </c>
      <c r="C75" s="7" t="s">
        <v>209</v>
      </c>
      <c r="D75" s="7" t="s">
        <v>239</v>
      </c>
      <c r="E75" s="7" t="s">
        <v>137</v>
      </c>
      <c r="F75" s="7" t="s">
        <v>129</v>
      </c>
      <c r="G75" s="7"/>
      <c r="H75" s="7" t="s">
        <v>44</v>
      </c>
      <c r="I75" s="19"/>
      <c r="J75" s="7" t="s">
        <v>138</v>
      </c>
      <c r="K75" s="7"/>
      <c r="L75" s="19"/>
      <c r="M75" s="19" t="s">
        <v>4</v>
      </c>
      <c r="N75" s="114"/>
      <c r="O75" s="7"/>
      <c r="P75" s="112" t="str">
        <f>IF(Tabela3[[#This Row],[RETIRADA APÓS CALIBRAÇÃO (STANDBY)]]="","",Tabela3[[#This Row],[RETIRADA APÓS CALIBRAÇÃO (STANDBY)]]+365)</f>
        <v/>
      </c>
    </row>
    <row r="76" spans="1:16" s="2" customFormat="1" ht="54.95" customHeight="1" x14ac:dyDescent="0.5">
      <c r="A76" s="39"/>
      <c r="B76" s="56" t="s">
        <v>240</v>
      </c>
      <c r="C76" s="7" t="s">
        <v>209</v>
      </c>
      <c r="D76" s="7" t="s">
        <v>241</v>
      </c>
      <c r="E76" s="7" t="s">
        <v>242</v>
      </c>
      <c r="F76" s="7" t="s">
        <v>129</v>
      </c>
      <c r="G76" s="7"/>
      <c r="H76" s="7" t="s">
        <v>44</v>
      </c>
      <c r="I76" s="19"/>
      <c r="J76" s="7" t="s">
        <v>138</v>
      </c>
      <c r="K76" s="7"/>
      <c r="L76" s="19"/>
      <c r="M76" s="19" t="s">
        <v>4</v>
      </c>
      <c r="N76" s="114"/>
      <c r="O76" s="7"/>
      <c r="P76" s="112" t="str">
        <f>IF(Tabela3[[#This Row],[RETIRADA APÓS CALIBRAÇÃO (STANDBY)]]="","",Tabela3[[#This Row],[RETIRADA APÓS CALIBRAÇÃO (STANDBY)]]+365)</f>
        <v/>
      </c>
    </row>
    <row r="77" spans="1:16" s="2" customFormat="1" ht="54.95" customHeight="1" x14ac:dyDescent="0.5">
      <c r="A77" s="39"/>
      <c r="B77" s="56" t="s">
        <v>243</v>
      </c>
      <c r="C77" s="7" t="s">
        <v>209</v>
      </c>
      <c r="D77" s="7" t="s">
        <v>244</v>
      </c>
      <c r="E77" s="7" t="s">
        <v>199</v>
      </c>
      <c r="F77" s="7" t="s">
        <v>129</v>
      </c>
      <c r="G77" s="7"/>
      <c r="H77" s="7" t="s">
        <v>44</v>
      </c>
      <c r="I77" s="19"/>
      <c r="J77" s="7" t="s">
        <v>151</v>
      </c>
      <c r="K77" s="7"/>
      <c r="L77" s="19"/>
      <c r="M77" s="19" t="s">
        <v>4</v>
      </c>
      <c r="N77" s="114"/>
      <c r="O77" s="7"/>
      <c r="P77" s="112" t="str">
        <f>IF(Tabela3[[#This Row],[RETIRADA APÓS CALIBRAÇÃO (STANDBY)]]="","",Tabela3[[#This Row],[RETIRADA APÓS CALIBRAÇÃO (STANDBY)]]+365)</f>
        <v/>
      </c>
    </row>
    <row r="78" spans="1:16" s="2" customFormat="1" ht="54.95" customHeight="1" x14ac:dyDescent="0.5">
      <c r="A78" s="39"/>
      <c r="B78" s="56" t="s">
        <v>245</v>
      </c>
      <c r="C78" s="7" t="s">
        <v>209</v>
      </c>
      <c r="D78" s="7" t="s">
        <v>246</v>
      </c>
      <c r="E78" s="7" t="s">
        <v>247</v>
      </c>
      <c r="F78" s="7" t="s">
        <v>248</v>
      </c>
      <c r="G78" s="7"/>
      <c r="H78" s="7" t="s">
        <v>44</v>
      </c>
      <c r="I78" s="19"/>
      <c r="J78" s="7" t="s">
        <v>151</v>
      </c>
      <c r="K78" s="7"/>
      <c r="L78" s="19"/>
      <c r="M78" s="19" t="s">
        <v>4</v>
      </c>
      <c r="N78" s="114"/>
      <c r="O78" s="7"/>
      <c r="P78" s="112" t="str">
        <f>IF(Tabela3[[#This Row],[RETIRADA APÓS CALIBRAÇÃO (STANDBY)]]="","",Tabela3[[#This Row],[RETIRADA APÓS CALIBRAÇÃO (STANDBY)]]+365)</f>
        <v/>
      </c>
    </row>
    <row r="79" spans="1:16" s="2" customFormat="1" ht="54.95" customHeight="1" x14ac:dyDescent="0.5">
      <c r="A79" s="39"/>
      <c r="B79" s="56" t="s">
        <v>249</v>
      </c>
      <c r="C79" s="7" t="s">
        <v>209</v>
      </c>
      <c r="D79" s="7" t="s">
        <v>250</v>
      </c>
      <c r="E79" s="7" t="s">
        <v>189</v>
      </c>
      <c r="F79" s="7" t="s">
        <v>129</v>
      </c>
      <c r="G79" s="7"/>
      <c r="H79" s="7" t="s">
        <v>44</v>
      </c>
      <c r="I79" s="19"/>
      <c r="J79" s="7" t="s">
        <v>191</v>
      </c>
      <c r="K79" s="7"/>
      <c r="L79" s="19"/>
      <c r="M79" s="19" t="s">
        <v>4</v>
      </c>
      <c r="N79" s="114"/>
      <c r="O79" s="7"/>
      <c r="P79" s="112" t="str">
        <f>IF(Tabela3[[#This Row],[RETIRADA APÓS CALIBRAÇÃO (STANDBY)]]="","",Tabela3[[#This Row],[RETIRADA APÓS CALIBRAÇÃO (STANDBY)]]+365)</f>
        <v/>
      </c>
    </row>
    <row r="80" spans="1:16" s="2" customFormat="1" ht="54.95" customHeight="1" x14ac:dyDescent="0.5">
      <c r="A80" s="39"/>
      <c r="B80" s="56" t="s">
        <v>251</v>
      </c>
      <c r="C80" s="7" t="s">
        <v>209</v>
      </c>
      <c r="D80" s="7" t="s">
        <v>165</v>
      </c>
      <c r="E80" s="7" t="s">
        <v>149</v>
      </c>
      <c r="F80" s="7" t="s">
        <v>252</v>
      </c>
      <c r="G80" s="7"/>
      <c r="H80" s="7" t="s">
        <v>44</v>
      </c>
      <c r="I80" s="19"/>
      <c r="J80" s="7" t="s">
        <v>145</v>
      </c>
      <c r="K80" s="7"/>
      <c r="L80" s="19"/>
      <c r="M80" s="19" t="s">
        <v>4</v>
      </c>
      <c r="N80" s="114"/>
      <c r="O80" s="7"/>
      <c r="P80" s="112" t="str">
        <f>IF(Tabela3[[#This Row],[RETIRADA APÓS CALIBRAÇÃO (STANDBY)]]="","",Tabela3[[#This Row],[RETIRADA APÓS CALIBRAÇÃO (STANDBY)]]+365)</f>
        <v/>
      </c>
    </row>
    <row r="81" spans="1:21" s="2" customFormat="1" ht="54.95" customHeight="1" x14ac:dyDescent="0.5">
      <c r="A81" s="39"/>
      <c r="B81" s="56" t="s">
        <v>253</v>
      </c>
      <c r="C81" s="7" t="s">
        <v>209</v>
      </c>
      <c r="D81" s="7" t="s">
        <v>254</v>
      </c>
      <c r="E81" s="7" t="s">
        <v>149</v>
      </c>
      <c r="F81" s="7" t="s">
        <v>255</v>
      </c>
      <c r="G81" s="7"/>
      <c r="H81" s="7" t="s">
        <v>44</v>
      </c>
      <c r="I81" s="19"/>
      <c r="J81" s="7" t="s">
        <v>145</v>
      </c>
      <c r="K81" s="7"/>
      <c r="L81" s="19"/>
      <c r="M81" s="19" t="s">
        <v>4</v>
      </c>
      <c r="N81" s="114"/>
      <c r="O81" s="7"/>
      <c r="P81" s="112" t="str">
        <f>IF(Tabela3[[#This Row],[RETIRADA APÓS CALIBRAÇÃO (STANDBY)]]="","",Tabela3[[#This Row],[RETIRADA APÓS CALIBRAÇÃO (STANDBY)]]+365)</f>
        <v/>
      </c>
    </row>
    <row r="82" spans="1:21" s="2" customFormat="1" ht="54.95" customHeight="1" x14ac:dyDescent="0.5">
      <c r="A82" s="39"/>
      <c r="B82" s="56" t="s">
        <v>256</v>
      </c>
      <c r="C82" s="7" t="s">
        <v>209</v>
      </c>
      <c r="D82" s="7" t="s">
        <v>257</v>
      </c>
      <c r="E82" s="7" t="s">
        <v>149</v>
      </c>
      <c r="F82" s="7" t="s">
        <v>258</v>
      </c>
      <c r="G82" s="7"/>
      <c r="H82" s="7" t="s">
        <v>44</v>
      </c>
      <c r="I82" s="19"/>
      <c r="J82" s="7" t="s">
        <v>151</v>
      </c>
      <c r="K82" s="7"/>
      <c r="L82" s="19"/>
      <c r="M82" s="19" t="s">
        <v>4</v>
      </c>
      <c r="N82" s="114"/>
      <c r="O82" s="7"/>
      <c r="P82" s="112" t="str">
        <f>IF(Tabela3[[#This Row],[RETIRADA APÓS CALIBRAÇÃO (STANDBY)]]="","",Tabela3[[#This Row],[RETIRADA APÓS CALIBRAÇÃO (STANDBY)]]+365)</f>
        <v/>
      </c>
    </row>
    <row r="83" spans="1:21" s="2" customFormat="1" ht="54.95" customHeight="1" x14ac:dyDescent="0.5">
      <c r="A83" s="39"/>
      <c r="B83" s="56" t="s">
        <v>259</v>
      </c>
      <c r="C83" s="7" t="s">
        <v>209</v>
      </c>
      <c r="D83" s="7" t="s">
        <v>260</v>
      </c>
      <c r="E83" s="7" t="s">
        <v>261</v>
      </c>
      <c r="F83" s="19" t="s">
        <v>262</v>
      </c>
      <c r="G83" s="7"/>
      <c r="H83" s="7" t="s">
        <v>44</v>
      </c>
      <c r="I83" s="19"/>
      <c r="J83" s="7" t="s">
        <v>145</v>
      </c>
      <c r="K83" s="7"/>
      <c r="L83" s="19"/>
      <c r="M83" s="19" t="s">
        <v>4</v>
      </c>
      <c r="N83" s="114"/>
      <c r="O83" s="7"/>
      <c r="P83" s="112" t="str">
        <f>IF(Tabela3[[#This Row],[RETIRADA APÓS CALIBRAÇÃO (STANDBY)]]="","",Tabela3[[#This Row],[RETIRADA APÓS CALIBRAÇÃO (STANDBY)]]+365)</f>
        <v/>
      </c>
    </row>
    <row r="84" spans="1:21" s="2" customFormat="1" ht="54.95" customHeight="1" x14ac:dyDescent="0.5">
      <c r="A84" s="39"/>
      <c r="B84" s="56" t="s">
        <v>263</v>
      </c>
      <c r="C84" s="7" t="s">
        <v>209</v>
      </c>
      <c r="D84" s="7" t="s">
        <v>264</v>
      </c>
      <c r="E84" s="7" t="s">
        <v>143</v>
      </c>
      <c r="F84" s="7" t="s">
        <v>265</v>
      </c>
      <c r="G84" s="7"/>
      <c r="H84" s="7" t="s">
        <v>44</v>
      </c>
      <c r="I84" s="19"/>
      <c r="J84" s="7" t="s">
        <v>160</v>
      </c>
      <c r="K84" s="7"/>
      <c r="L84" s="19"/>
      <c r="M84" s="19" t="s">
        <v>4</v>
      </c>
      <c r="N84" s="114"/>
      <c r="O84" s="7"/>
      <c r="P84" s="112" t="str">
        <f>IF(Tabela3[[#This Row],[RETIRADA APÓS CALIBRAÇÃO (STANDBY)]]="","",Tabela3[[#This Row],[RETIRADA APÓS CALIBRAÇÃO (STANDBY)]]+365)</f>
        <v/>
      </c>
    </row>
    <row r="85" spans="1:21" s="2" customFormat="1" ht="54.95" customHeight="1" x14ac:dyDescent="0.5">
      <c r="A85" s="39"/>
      <c r="B85" s="56" t="s">
        <v>266</v>
      </c>
      <c r="C85" s="7" t="s">
        <v>209</v>
      </c>
      <c r="D85" s="7" t="s">
        <v>171</v>
      </c>
      <c r="E85" s="7" t="s">
        <v>143</v>
      </c>
      <c r="F85" s="7" t="s">
        <v>267</v>
      </c>
      <c r="G85" s="7"/>
      <c r="H85" s="7" t="s">
        <v>44</v>
      </c>
      <c r="I85" s="19"/>
      <c r="J85" s="7" t="s">
        <v>138</v>
      </c>
      <c r="K85" s="7"/>
      <c r="L85" s="19"/>
      <c r="M85" s="19" t="s">
        <v>4</v>
      </c>
      <c r="N85" s="114"/>
      <c r="O85" s="7"/>
      <c r="P85" s="112" t="str">
        <f>IF(Tabela3[[#This Row],[RETIRADA APÓS CALIBRAÇÃO (STANDBY)]]="","",Tabela3[[#This Row],[RETIRADA APÓS CALIBRAÇÃO (STANDBY)]]+365)</f>
        <v/>
      </c>
    </row>
    <row r="86" spans="1:21" s="2" customFormat="1" ht="54.95" customHeight="1" x14ac:dyDescent="0.5">
      <c r="A86" s="39"/>
      <c r="B86" s="56" t="s">
        <v>268</v>
      </c>
      <c r="C86" s="7" t="s">
        <v>209</v>
      </c>
      <c r="D86" s="7" t="s">
        <v>269</v>
      </c>
      <c r="E86" s="7" t="s">
        <v>137</v>
      </c>
      <c r="F86" s="7"/>
      <c r="G86" s="7"/>
      <c r="H86" s="7" t="s">
        <v>44</v>
      </c>
      <c r="I86" s="19"/>
      <c r="J86" s="7" t="s">
        <v>138</v>
      </c>
      <c r="K86" s="7"/>
      <c r="L86" s="19"/>
      <c r="M86" s="19" t="s">
        <v>4</v>
      </c>
      <c r="N86" s="114"/>
      <c r="O86" s="7"/>
      <c r="P86" s="112" t="str">
        <f>IF(Tabela3[[#This Row],[RETIRADA APÓS CALIBRAÇÃO (STANDBY)]]="","",Tabela3[[#This Row],[RETIRADA APÓS CALIBRAÇÃO (STANDBY)]]+365)</f>
        <v/>
      </c>
    </row>
    <row r="87" spans="1:21" s="2" customFormat="1" ht="54.95" customHeight="1" x14ac:dyDescent="0.5">
      <c r="A87" s="39"/>
      <c r="B87" s="56" t="s">
        <v>270</v>
      </c>
      <c r="C87" s="7" t="s">
        <v>209</v>
      </c>
      <c r="D87" s="7" t="s">
        <v>271</v>
      </c>
      <c r="E87" s="7" t="s">
        <v>137</v>
      </c>
      <c r="F87" s="7"/>
      <c r="G87" s="7"/>
      <c r="H87" s="7" t="s">
        <v>44</v>
      </c>
      <c r="I87" s="19"/>
      <c r="J87" s="7" t="s">
        <v>138</v>
      </c>
      <c r="K87" s="7"/>
      <c r="L87" s="19"/>
      <c r="M87" s="19" t="s">
        <v>4</v>
      </c>
      <c r="N87" s="114"/>
      <c r="O87" s="7"/>
      <c r="P87" s="112" t="str">
        <f>IF(Tabela3[[#This Row],[RETIRADA APÓS CALIBRAÇÃO (STANDBY)]]="","",Tabela3[[#This Row],[RETIRADA APÓS CALIBRAÇÃO (STANDBY)]]+365)</f>
        <v/>
      </c>
    </row>
    <row r="88" spans="1:21" s="2" customFormat="1" ht="54.95" customHeight="1" x14ac:dyDescent="0.5">
      <c r="A88" s="39"/>
      <c r="B88" s="56" t="s">
        <v>272</v>
      </c>
      <c r="C88" s="7" t="s">
        <v>209</v>
      </c>
      <c r="D88" s="7" t="s">
        <v>273</v>
      </c>
      <c r="E88" s="7" t="s">
        <v>143</v>
      </c>
      <c r="F88" s="7" t="s">
        <v>274</v>
      </c>
      <c r="G88" s="7"/>
      <c r="H88" s="7" t="s">
        <v>44</v>
      </c>
      <c r="I88" s="19"/>
      <c r="J88" s="7" t="s">
        <v>160</v>
      </c>
      <c r="K88" s="7"/>
      <c r="L88" s="19"/>
      <c r="M88" s="19" t="s">
        <v>4</v>
      </c>
      <c r="N88" s="114"/>
      <c r="O88" s="7"/>
      <c r="P88" s="112" t="str">
        <f>IF(Tabela3[[#This Row],[RETIRADA APÓS CALIBRAÇÃO (STANDBY)]]="","",Tabela3[[#This Row],[RETIRADA APÓS CALIBRAÇÃO (STANDBY)]]+365)</f>
        <v/>
      </c>
    </row>
    <row r="89" spans="1:21" s="2" customFormat="1" ht="54.95" customHeight="1" x14ac:dyDescent="0.5">
      <c r="A89" s="39"/>
      <c r="B89" s="56" t="s">
        <v>275</v>
      </c>
      <c r="C89" s="7" t="s">
        <v>209</v>
      </c>
      <c r="D89" s="7" t="s">
        <v>276</v>
      </c>
      <c r="E89" s="7" t="s">
        <v>277</v>
      </c>
      <c r="F89" s="7"/>
      <c r="G89" s="7"/>
      <c r="H89" s="7" t="s">
        <v>44</v>
      </c>
      <c r="I89" s="19"/>
      <c r="J89" s="7" t="s">
        <v>278</v>
      </c>
      <c r="K89" s="7"/>
      <c r="L89" s="19"/>
      <c r="M89" s="19" t="s">
        <v>4</v>
      </c>
      <c r="N89" s="114"/>
      <c r="O89" s="7"/>
      <c r="P89" s="112" t="str">
        <f>IF(Tabela3[[#This Row],[RETIRADA APÓS CALIBRAÇÃO (STANDBY)]]="","",Tabela3[[#This Row],[RETIRADA APÓS CALIBRAÇÃO (STANDBY)]]+365)</f>
        <v/>
      </c>
    </row>
    <row r="90" spans="1:21" s="2" customFormat="1" ht="54.95" customHeight="1" x14ac:dyDescent="0.5">
      <c r="A90" s="39"/>
      <c r="B90" s="56" t="s">
        <v>279</v>
      </c>
      <c r="C90" s="7" t="s">
        <v>209</v>
      </c>
      <c r="D90" s="7" t="s">
        <v>280</v>
      </c>
      <c r="E90" s="7"/>
      <c r="F90" s="7"/>
      <c r="G90" s="7"/>
      <c r="H90" s="7" t="s">
        <v>44</v>
      </c>
      <c r="I90" s="19"/>
      <c r="J90" s="7" t="s">
        <v>138</v>
      </c>
      <c r="K90" s="7" t="s">
        <v>281</v>
      </c>
      <c r="L90" s="19"/>
      <c r="M90" s="19" t="s">
        <v>4</v>
      </c>
      <c r="N90" s="114"/>
      <c r="O90" s="7"/>
      <c r="P90" s="112" t="str">
        <f>IF(Tabela3[[#This Row],[RETIRADA APÓS CALIBRAÇÃO (STANDBY)]]="","",Tabela3[[#This Row],[RETIRADA APÓS CALIBRAÇÃO (STANDBY)]]+365)</f>
        <v/>
      </c>
    </row>
    <row r="91" spans="1:21" s="2" customFormat="1" ht="54.95" customHeight="1" x14ac:dyDescent="0.7">
      <c r="A91" s="39"/>
      <c r="B91" s="56" t="s">
        <v>282</v>
      </c>
      <c r="C91" s="7" t="s">
        <v>209</v>
      </c>
      <c r="D91" s="7" t="s">
        <v>283</v>
      </c>
      <c r="E91" s="7"/>
      <c r="F91" s="7"/>
      <c r="G91" s="7"/>
      <c r="H91" s="7" t="s">
        <v>44</v>
      </c>
      <c r="I91" s="19"/>
      <c r="J91" s="7" t="s">
        <v>160</v>
      </c>
      <c r="K91" s="7"/>
      <c r="L91" s="19"/>
      <c r="M91" s="19" t="s">
        <v>4</v>
      </c>
      <c r="N91" s="114"/>
      <c r="O91" s="7"/>
      <c r="P91" s="125" t="str">
        <f>IF(Tabela3[[#This Row],[RETIRADA APÓS CALIBRAÇÃO (STANDBY)]]="","",Tabela3[[#This Row],[RETIRADA APÓS CALIBRAÇÃO (STANDBY)]]+365)</f>
        <v/>
      </c>
      <c r="T91" s="122"/>
      <c r="U91" s="123"/>
    </row>
    <row r="92" spans="1:21" s="2" customFormat="1" ht="54.95" customHeight="1" x14ac:dyDescent="0.5">
      <c r="A92" s="39"/>
      <c r="B92" s="56" t="s">
        <v>284</v>
      </c>
      <c r="C92" s="7" t="s">
        <v>209</v>
      </c>
      <c r="D92" s="7" t="s">
        <v>285</v>
      </c>
      <c r="E92" s="7" t="s">
        <v>199</v>
      </c>
      <c r="F92" s="7"/>
      <c r="G92" s="7"/>
      <c r="H92" s="7" t="s">
        <v>44</v>
      </c>
      <c r="I92" s="19"/>
      <c r="J92" s="7" t="s">
        <v>151</v>
      </c>
      <c r="K92" s="7"/>
      <c r="L92" s="19"/>
      <c r="M92" s="19" t="s">
        <v>4</v>
      </c>
      <c r="N92" s="114"/>
      <c r="O92" s="7"/>
      <c r="P92" s="125" t="str">
        <f>IF(Tabela3[[#This Row],[RETIRADA APÓS CALIBRAÇÃO (STANDBY)]]="","",Tabela3[[#This Row],[RETIRADA APÓS CALIBRAÇÃO (STANDBY)]]+365)</f>
        <v/>
      </c>
      <c r="T92" s="122"/>
      <c r="U92" s="122"/>
    </row>
    <row r="93" spans="1:21" s="2" customFormat="1" ht="54.95" customHeight="1" x14ac:dyDescent="0.5">
      <c r="A93" s="39"/>
      <c r="B93" s="56" t="s">
        <v>286</v>
      </c>
      <c r="C93" s="7" t="s">
        <v>209</v>
      </c>
      <c r="D93" s="7" t="s">
        <v>287</v>
      </c>
      <c r="E93" s="7" t="s">
        <v>199</v>
      </c>
      <c r="F93" s="7"/>
      <c r="G93" s="7"/>
      <c r="H93" s="7" t="s">
        <v>44</v>
      </c>
      <c r="I93" s="19"/>
      <c r="J93" s="7" t="s">
        <v>151</v>
      </c>
      <c r="K93" s="7"/>
      <c r="L93" s="19"/>
      <c r="M93" s="19" t="s">
        <v>4</v>
      </c>
      <c r="N93" s="114"/>
      <c r="O93" s="7"/>
      <c r="P93" s="125" t="str">
        <f>IF(Tabela3[[#This Row],[RETIRADA APÓS CALIBRAÇÃO (STANDBY)]]="","",Tabela3[[#This Row],[RETIRADA APÓS CALIBRAÇÃO (STANDBY)]]+365)</f>
        <v/>
      </c>
    </row>
    <row r="94" spans="1:21" s="2" customFormat="1" ht="54.95" customHeight="1" x14ac:dyDescent="0.5">
      <c r="A94" s="39"/>
      <c r="B94" s="56" t="s">
        <v>288</v>
      </c>
      <c r="C94" s="7" t="s">
        <v>209</v>
      </c>
      <c r="D94" s="7" t="s">
        <v>289</v>
      </c>
      <c r="E94" s="7"/>
      <c r="F94" s="7"/>
      <c r="G94" s="7"/>
      <c r="H94" s="7" t="s">
        <v>44</v>
      </c>
      <c r="I94" s="19"/>
      <c r="J94" s="7" t="s">
        <v>151</v>
      </c>
      <c r="K94" s="7"/>
      <c r="L94" s="19"/>
      <c r="M94" s="19" t="s">
        <v>4</v>
      </c>
      <c r="N94" s="114"/>
      <c r="O94" s="7"/>
      <c r="P94" s="125" t="str">
        <f>IF(Tabela3[[#This Row],[RETIRADA APÓS CALIBRAÇÃO (STANDBY)]]="","",Tabela3[[#This Row],[RETIRADA APÓS CALIBRAÇÃO (STANDBY)]]+365)</f>
        <v/>
      </c>
    </row>
    <row r="95" spans="1:21" s="2" customFormat="1" ht="54.95" customHeight="1" x14ac:dyDescent="0.5">
      <c r="A95" s="39"/>
      <c r="B95" s="56" t="s">
        <v>290</v>
      </c>
      <c r="C95" s="7" t="s">
        <v>209</v>
      </c>
      <c r="D95" s="7" t="s">
        <v>291</v>
      </c>
      <c r="E95" s="7"/>
      <c r="F95" s="7" t="s">
        <v>204</v>
      </c>
      <c r="G95" s="7"/>
      <c r="H95" s="7" t="s">
        <v>44</v>
      </c>
      <c r="I95" s="19"/>
      <c r="J95" s="7" t="s">
        <v>160</v>
      </c>
      <c r="K95" s="7"/>
      <c r="L95" s="19"/>
      <c r="M95" s="19" t="s">
        <v>4</v>
      </c>
      <c r="N95" s="114"/>
      <c r="O95" s="7"/>
      <c r="P95" s="125" t="str">
        <f>IF(Tabela3[[#This Row],[RETIRADA APÓS CALIBRAÇÃO (STANDBY)]]="","",Tabela3[[#This Row],[RETIRADA APÓS CALIBRAÇÃO (STANDBY)]]+365)</f>
        <v/>
      </c>
    </row>
    <row r="96" spans="1:21" s="2" customFormat="1" ht="54.95" customHeight="1" x14ac:dyDescent="0.5">
      <c r="A96" s="39"/>
      <c r="B96" s="56" t="s">
        <v>292</v>
      </c>
      <c r="C96" s="7" t="s">
        <v>293</v>
      </c>
      <c r="D96" s="7" t="s">
        <v>293</v>
      </c>
      <c r="E96" s="7"/>
      <c r="F96" s="7"/>
      <c r="G96" s="7"/>
      <c r="H96" s="7" t="s">
        <v>44</v>
      </c>
      <c r="I96" s="19"/>
      <c r="J96" s="7" t="s">
        <v>294</v>
      </c>
      <c r="K96" s="7"/>
      <c r="L96" s="19"/>
      <c r="M96" s="19" t="s">
        <v>4</v>
      </c>
      <c r="N96" s="114"/>
      <c r="O96" s="6"/>
      <c r="P96" s="125" t="str">
        <f>IF(Tabela3[[#This Row],[RETIRADA APÓS CALIBRAÇÃO (STANDBY)]]="","",Tabela3[[#This Row],[RETIRADA APÓS CALIBRAÇÃO (STANDBY)]]+365)</f>
        <v/>
      </c>
    </row>
    <row r="97" spans="1:16" s="2" customFormat="1" ht="54.95" customHeight="1" x14ac:dyDescent="0.5">
      <c r="A97" s="39"/>
      <c r="B97" s="70" t="s">
        <v>295</v>
      </c>
      <c r="C97" s="4" t="s">
        <v>296</v>
      </c>
      <c r="D97" s="4" t="s">
        <v>297</v>
      </c>
      <c r="E97" s="4" t="s">
        <v>115</v>
      </c>
      <c r="F97" s="4" t="s">
        <v>298</v>
      </c>
      <c r="G97" s="4">
        <v>0.1</v>
      </c>
      <c r="H97" s="9" t="s">
        <v>44</v>
      </c>
      <c r="I97" s="41"/>
      <c r="J97" s="5" t="s">
        <v>51</v>
      </c>
      <c r="K97" s="5"/>
      <c r="L97" s="42"/>
      <c r="M97" s="19" t="s">
        <v>5</v>
      </c>
      <c r="N97" s="114"/>
      <c r="O97" s="7"/>
      <c r="P97" s="112" t="str">
        <f>IF(Tabela3[[#This Row],[RETIRADA APÓS CALIBRAÇÃO (STANDBY)]]="","",Tabela3[[#This Row],[RETIRADA APÓS CALIBRAÇÃO (STANDBY)]]+365)</f>
        <v/>
      </c>
    </row>
    <row r="98" spans="1:16" s="2" customFormat="1" ht="54.95" customHeight="1" x14ac:dyDescent="0.5">
      <c r="A98" s="39"/>
      <c r="B98" s="35" t="s">
        <v>299</v>
      </c>
      <c r="C98" s="4" t="s">
        <v>296</v>
      </c>
      <c r="D98" s="4" t="s">
        <v>300</v>
      </c>
      <c r="E98" s="4" t="s">
        <v>301</v>
      </c>
      <c r="F98" s="4">
        <v>30467</v>
      </c>
      <c r="G98" s="4" t="s">
        <v>302</v>
      </c>
      <c r="H98" s="9" t="s">
        <v>44</v>
      </c>
      <c r="I98" s="41"/>
      <c r="J98" s="5" t="s">
        <v>51</v>
      </c>
      <c r="K98" s="5"/>
      <c r="L98" s="42"/>
      <c r="M98" s="42" t="s">
        <v>6</v>
      </c>
      <c r="N98" s="115"/>
      <c r="O98" s="7"/>
      <c r="P98" s="112" t="str">
        <f>IF(Tabela3[[#This Row],[RETIRADA APÓS CALIBRAÇÃO (STANDBY)]]="","",Tabela3[[#This Row],[RETIRADA APÓS CALIBRAÇÃO (STANDBY)]]+365)</f>
        <v/>
      </c>
    </row>
    <row r="99" spans="1:16" s="2" customFormat="1" ht="54.95" customHeight="1" x14ac:dyDescent="0.5">
      <c r="A99" s="39"/>
      <c r="B99" s="70" t="s">
        <v>303</v>
      </c>
      <c r="C99" s="4" t="s">
        <v>296</v>
      </c>
      <c r="D99" s="4" t="s">
        <v>304</v>
      </c>
      <c r="E99" s="4" t="s">
        <v>305</v>
      </c>
      <c r="F99" s="4" t="s">
        <v>306</v>
      </c>
      <c r="G99" s="4"/>
      <c r="H99" s="9" t="s">
        <v>44</v>
      </c>
      <c r="I99" s="41"/>
      <c r="J99" s="5" t="s">
        <v>51</v>
      </c>
      <c r="K99" s="5"/>
      <c r="L99" s="42" t="s">
        <v>307</v>
      </c>
      <c r="M99" s="42" t="s">
        <v>5</v>
      </c>
      <c r="N99" s="115"/>
      <c r="O99" s="6"/>
      <c r="P99" s="112"/>
    </row>
    <row r="100" spans="1:16" s="2" customFormat="1" ht="54.95" customHeight="1" x14ac:dyDescent="0.5">
      <c r="A100" s="39"/>
      <c r="B100" s="148" t="s">
        <v>308</v>
      </c>
      <c r="C100" s="4" t="s">
        <v>296</v>
      </c>
      <c r="D100" s="4" t="s">
        <v>300</v>
      </c>
      <c r="E100" s="4" t="s">
        <v>305</v>
      </c>
      <c r="F100" s="4"/>
      <c r="G100" s="4"/>
      <c r="H100" s="9" t="s">
        <v>44</v>
      </c>
      <c r="I100" s="41" t="s">
        <v>1288</v>
      </c>
      <c r="J100" s="5" t="s">
        <v>51</v>
      </c>
      <c r="K100" s="5"/>
      <c r="L100" s="42" t="s">
        <v>309</v>
      </c>
      <c r="M100" s="42" t="s">
        <v>3</v>
      </c>
      <c r="N100" s="115"/>
      <c r="O100" s="6">
        <v>45261</v>
      </c>
      <c r="P100" s="112">
        <v>45992</v>
      </c>
    </row>
    <row r="101" spans="1:16" s="2" customFormat="1" ht="54.75" customHeight="1" x14ac:dyDescent="0.5">
      <c r="A101" s="39"/>
      <c r="B101" s="8" t="s">
        <v>310</v>
      </c>
      <c r="C101" s="4" t="s">
        <v>296</v>
      </c>
      <c r="D101" s="9" t="s">
        <v>311</v>
      </c>
      <c r="E101" s="9" t="s">
        <v>103</v>
      </c>
      <c r="F101" s="9" t="s">
        <v>312</v>
      </c>
      <c r="G101" s="9"/>
      <c r="H101" s="9" t="s">
        <v>44</v>
      </c>
      <c r="I101" s="40"/>
      <c r="J101" s="10" t="s">
        <v>45</v>
      </c>
      <c r="K101" s="10"/>
      <c r="L101" s="19" t="s">
        <v>314</v>
      </c>
      <c r="M101" s="42" t="s">
        <v>1</v>
      </c>
      <c r="N101" s="6">
        <v>45933</v>
      </c>
      <c r="O101" s="6">
        <v>45933</v>
      </c>
      <c r="P101" s="112">
        <f>IF(Tabela3[[#This Row],[RETIRADA APÓS CALIBRAÇÃO (STANDBY)]]="","",Tabela3[[#This Row],[RETIRADA APÓS CALIBRAÇÃO (STANDBY)]]+365)</f>
        <v>46298</v>
      </c>
    </row>
    <row r="102" spans="1:16" s="2" customFormat="1" ht="54.95" customHeight="1" x14ac:dyDescent="0.5">
      <c r="A102" s="39"/>
      <c r="B102" s="13" t="s">
        <v>315</v>
      </c>
      <c r="C102" s="4" t="s">
        <v>296</v>
      </c>
      <c r="D102" s="4" t="s">
        <v>300</v>
      </c>
      <c r="E102" s="4" t="s">
        <v>305</v>
      </c>
      <c r="F102" s="4">
        <v>661921</v>
      </c>
      <c r="G102" s="4" t="s">
        <v>302</v>
      </c>
      <c r="H102" s="9" t="s">
        <v>44</v>
      </c>
      <c r="I102" s="41"/>
      <c r="J102" s="5" t="s">
        <v>51</v>
      </c>
      <c r="K102" s="5"/>
      <c r="L102" s="42" t="s">
        <v>316</v>
      </c>
      <c r="M102" s="42" t="s">
        <v>1</v>
      </c>
      <c r="N102" s="6">
        <v>45923</v>
      </c>
      <c r="O102" s="6">
        <v>45923</v>
      </c>
      <c r="P102" s="112">
        <f>IF(Tabela3[[#This Row],[RETIRADA APÓS CALIBRAÇÃO (STANDBY)]]="","",Tabela3[[#This Row],[RETIRADA APÓS CALIBRAÇÃO (STANDBY)]]+365)</f>
        <v>46288</v>
      </c>
    </row>
    <row r="103" spans="1:16" s="2" customFormat="1" ht="54.95" customHeight="1" x14ac:dyDescent="0.5">
      <c r="A103" s="39"/>
      <c r="B103" s="58" t="s">
        <v>317</v>
      </c>
      <c r="C103" s="4" t="s">
        <v>318</v>
      </c>
      <c r="D103" s="7" t="s">
        <v>318</v>
      </c>
      <c r="E103" s="4"/>
      <c r="F103" s="4"/>
      <c r="G103" s="4"/>
      <c r="H103" s="9" t="s">
        <v>44</v>
      </c>
      <c r="I103" s="41"/>
      <c r="J103" s="5"/>
      <c r="K103" s="5"/>
      <c r="L103" s="42"/>
      <c r="M103" s="42" t="s">
        <v>4</v>
      </c>
      <c r="N103" s="115"/>
      <c r="O103" s="7"/>
      <c r="P103" s="112" t="str">
        <f>IF(Tabela3[[#This Row],[RETIRADA APÓS CALIBRAÇÃO (STANDBY)]]="","",Tabela3[[#This Row],[RETIRADA APÓS CALIBRAÇÃO (STANDBY)]]+365)</f>
        <v/>
      </c>
    </row>
    <row r="104" spans="1:16" s="2" customFormat="1" ht="54.95" customHeight="1" x14ac:dyDescent="0.5">
      <c r="A104" s="39"/>
      <c r="B104" s="56" t="s">
        <v>319</v>
      </c>
      <c r="C104" s="9" t="s">
        <v>320</v>
      </c>
      <c r="D104" s="19" t="s">
        <v>321</v>
      </c>
      <c r="E104" s="9" t="s">
        <v>322</v>
      </c>
      <c r="F104" s="68" t="s">
        <v>323</v>
      </c>
      <c r="G104" s="9"/>
      <c r="H104" s="9" t="s">
        <v>44</v>
      </c>
      <c r="I104" s="40"/>
      <c r="J104" s="7"/>
      <c r="K104" s="7"/>
      <c r="L104" s="19" t="s">
        <v>104</v>
      </c>
      <c r="M104" s="40" t="s">
        <v>4</v>
      </c>
      <c r="N104" s="116"/>
      <c r="O104" s="6"/>
      <c r="P104" s="112" t="str">
        <f>IF(Tabela3[[#This Row],[RETIRADA APÓS CALIBRAÇÃO (STANDBY)]]="","",Tabela3[[#This Row],[RETIRADA APÓS CALIBRAÇÃO (STANDBY)]]+365)</f>
        <v/>
      </c>
    </row>
    <row r="105" spans="1:16" s="2" customFormat="1" ht="54.95" customHeight="1" x14ac:dyDescent="0.5">
      <c r="A105" s="39"/>
      <c r="B105" s="12" t="s">
        <v>324</v>
      </c>
      <c r="C105" s="7" t="s">
        <v>325</v>
      </c>
      <c r="D105" s="7" t="s">
        <v>326</v>
      </c>
      <c r="E105" s="7" t="s">
        <v>327</v>
      </c>
      <c r="F105" s="7" t="s">
        <v>328</v>
      </c>
      <c r="G105" s="7"/>
      <c r="H105" s="7" t="s">
        <v>44</v>
      </c>
      <c r="I105" s="19"/>
      <c r="J105" s="7" t="s">
        <v>59</v>
      </c>
      <c r="K105" s="7"/>
      <c r="L105" s="19" t="s">
        <v>329</v>
      </c>
      <c r="M105" s="19" t="s">
        <v>1</v>
      </c>
      <c r="N105" s="6">
        <v>45917</v>
      </c>
      <c r="O105" s="6">
        <v>45917</v>
      </c>
      <c r="P105" s="112">
        <f>IF(Tabela3[[#This Row],[RETIRADA APÓS CALIBRAÇÃO (STANDBY)]]="","",Tabela3[[#This Row],[RETIRADA APÓS CALIBRAÇÃO (STANDBY)]]+365)</f>
        <v>46282</v>
      </c>
    </row>
    <row r="106" spans="1:16" s="2" customFormat="1" ht="54.95" customHeight="1" x14ac:dyDescent="0.5">
      <c r="A106" s="39"/>
      <c r="B106" s="8" t="s">
        <v>330</v>
      </c>
      <c r="C106" s="4" t="s">
        <v>331</v>
      </c>
      <c r="D106" s="4" t="s">
        <v>332</v>
      </c>
      <c r="E106" s="4" t="s">
        <v>333</v>
      </c>
      <c r="F106" s="4" t="s">
        <v>1037</v>
      </c>
      <c r="G106" s="4"/>
      <c r="H106" s="9" t="s">
        <v>44</v>
      </c>
      <c r="I106" s="41"/>
      <c r="J106" s="5" t="s">
        <v>334</v>
      </c>
      <c r="K106" s="5"/>
      <c r="L106" s="42" t="s">
        <v>335</v>
      </c>
      <c r="M106" s="42" t="s">
        <v>1</v>
      </c>
      <c r="N106" s="6">
        <v>46149</v>
      </c>
      <c r="O106" s="41" t="s">
        <v>313</v>
      </c>
      <c r="P106" s="112" t="e">
        <f>IF(Tabela3[[#This Row],[RETIRADA APÓS CALIBRAÇÃO (STANDBY)]]="","",Tabela3[[#This Row],[RETIRADA APÓS CALIBRAÇÃO (STANDBY)]]+365)</f>
        <v>#VALUE!</v>
      </c>
    </row>
    <row r="107" spans="1:16" s="2" customFormat="1" ht="54.95" customHeight="1" x14ac:dyDescent="0.5">
      <c r="A107" s="39"/>
      <c r="B107" s="145" t="s">
        <v>336</v>
      </c>
      <c r="C107" s="4" t="s">
        <v>331</v>
      </c>
      <c r="D107" s="4" t="s">
        <v>332</v>
      </c>
      <c r="E107" s="4" t="s">
        <v>333</v>
      </c>
      <c r="F107" s="4"/>
      <c r="G107" s="4"/>
      <c r="H107" s="9" t="s">
        <v>44</v>
      </c>
      <c r="I107" s="41"/>
      <c r="J107" s="5" t="s">
        <v>337</v>
      </c>
      <c r="K107" s="5"/>
      <c r="L107" s="19"/>
      <c r="M107" s="19" t="s">
        <v>6</v>
      </c>
      <c r="N107" s="114"/>
      <c r="O107" s="7"/>
      <c r="P107" s="112" t="str">
        <f>IF(Tabela3[[#This Row],[RETIRADA APÓS CALIBRAÇÃO (STANDBY)]]="","",Tabela3[[#This Row],[RETIRADA APÓS CALIBRAÇÃO (STANDBY)]]+365)</f>
        <v/>
      </c>
    </row>
    <row r="108" spans="1:16" s="2" customFormat="1" ht="54.95" customHeight="1" x14ac:dyDescent="0.5">
      <c r="A108" s="39"/>
      <c r="B108" s="8" t="s">
        <v>338</v>
      </c>
      <c r="C108" s="4" t="s">
        <v>331</v>
      </c>
      <c r="D108" s="4" t="s">
        <v>332</v>
      </c>
      <c r="E108" s="4" t="s">
        <v>333</v>
      </c>
      <c r="F108" s="4"/>
      <c r="G108" s="4"/>
      <c r="H108" s="9" t="s">
        <v>44</v>
      </c>
      <c r="I108" s="41"/>
      <c r="J108" s="5" t="s">
        <v>339</v>
      </c>
      <c r="K108" s="5"/>
      <c r="L108" s="42" t="s">
        <v>1197</v>
      </c>
      <c r="M108" s="42" t="s">
        <v>1</v>
      </c>
      <c r="N108" s="6">
        <v>46169</v>
      </c>
      <c r="O108" s="6">
        <v>46169</v>
      </c>
      <c r="P108" s="112">
        <f>IF(Tabela3[[#This Row],[RETIRADA APÓS CALIBRAÇÃO (STANDBY)]]="","",Tabela3[[#This Row],[RETIRADA APÓS CALIBRAÇÃO (STANDBY)]]+365)</f>
        <v>46534</v>
      </c>
    </row>
    <row r="109" spans="1:16" s="2" customFormat="1" ht="54.95" customHeight="1" x14ac:dyDescent="0.5">
      <c r="A109" s="39"/>
      <c r="B109" s="145" t="s">
        <v>340</v>
      </c>
      <c r="C109" s="4" t="s">
        <v>341</v>
      </c>
      <c r="D109" s="4" t="s">
        <v>342</v>
      </c>
      <c r="E109" s="4" t="s">
        <v>343</v>
      </c>
      <c r="F109" s="4" t="s">
        <v>344</v>
      </c>
      <c r="G109" s="4" t="s">
        <v>345</v>
      </c>
      <c r="H109" s="9" t="s">
        <v>44</v>
      </c>
      <c r="I109" s="41"/>
      <c r="J109" s="5" t="s">
        <v>334</v>
      </c>
      <c r="K109" s="5"/>
      <c r="L109" s="42"/>
      <c r="M109" s="42" t="s">
        <v>6</v>
      </c>
      <c r="N109" s="115"/>
      <c r="O109" s="6"/>
      <c r="P109" s="112" t="str">
        <f>IF(Tabela3[[#This Row],[RETIRADA APÓS CALIBRAÇÃO (STANDBY)]]="","",Tabela3[[#This Row],[RETIRADA APÓS CALIBRAÇÃO (STANDBY)]]+365)</f>
        <v/>
      </c>
    </row>
    <row r="110" spans="1:16" s="2" customFormat="1" ht="124.5" customHeight="1" x14ac:dyDescent="0.5">
      <c r="A110" s="39"/>
      <c r="B110" s="146" t="s">
        <v>346</v>
      </c>
      <c r="C110" s="4" t="s">
        <v>341</v>
      </c>
      <c r="D110" s="4" t="s">
        <v>342</v>
      </c>
      <c r="E110" s="4" t="s">
        <v>343</v>
      </c>
      <c r="F110" s="4" t="s">
        <v>344</v>
      </c>
      <c r="G110" s="4" t="s">
        <v>345</v>
      </c>
      <c r="H110" s="9" t="s">
        <v>44</v>
      </c>
      <c r="I110" s="40" t="s">
        <v>1289</v>
      </c>
      <c r="J110" s="5" t="s">
        <v>334</v>
      </c>
      <c r="K110" s="5"/>
      <c r="L110" s="42" t="s">
        <v>347</v>
      </c>
      <c r="M110" s="42" t="s">
        <v>3</v>
      </c>
      <c r="N110" s="6">
        <v>45373</v>
      </c>
      <c r="O110" s="6">
        <v>45373</v>
      </c>
      <c r="P110" s="112">
        <f>IF(Tabela3[[#This Row],[RETIRADA APÓS CALIBRAÇÃO (STANDBY)]]="","",Tabela3[[#This Row],[RETIRADA APÓS CALIBRAÇÃO (STANDBY)]]+365)</f>
        <v>45738</v>
      </c>
    </row>
    <row r="111" spans="1:16" s="2" customFormat="1" ht="54.95" customHeight="1" x14ac:dyDescent="0.5">
      <c r="A111" s="39"/>
      <c r="B111" s="8" t="s">
        <v>348</v>
      </c>
      <c r="C111" s="4" t="s">
        <v>341</v>
      </c>
      <c r="D111" s="4" t="s">
        <v>342</v>
      </c>
      <c r="E111" s="4" t="s">
        <v>103</v>
      </c>
      <c r="F111" s="4" t="s">
        <v>349</v>
      </c>
      <c r="G111" s="4" t="s">
        <v>345</v>
      </c>
      <c r="H111" s="9" t="s">
        <v>44</v>
      </c>
      <c r="I111" s="41"/>
      <c r="J111" s="5" t="s">
        <v>334</v>
      </c>
      <c r="K111" s="5"/>
      <c r="L111" s="42" t="s">
        <v>1043</v>
      </c>
      <c r="M111" s="42" t="s">
        <v>1</v>
      </c>
      <c r="N111" s="6">
        <v>46169</v>
      </c>
      <c r="O111" s="6">
        <v>46169</v>
      </c>
      <c r="P111" s="112">
        <f>IF(Tabela3[[#This Row],[RETIRADA APÓS CALIBRAÇÃO (STANDBY)]]="","",Tabela3[[#This Row],[RETIRADA APÓS CALIBRAÇÃO (STANDBY)]]+365)</f>
        <v>46534</v>
      </c>
    </row>
    <row r="112" spans="1:16" s="2" customFormat="1" ht="54.95" customHeight="1" x14ac:dyDescent="0.5">
      <c r="A112" s="39"/>
      <c r="B112" s="16" t="s">
        <v>350</v>
      </c>
      <c r="C112" s="4" t="s">
        <v>351</v>
      </c>
      <c r="D112" s="4" t="s">
        <v>352</v>
      </c>
      <c r="E112" s="4" t="s">
        <v>199</v>
      </c>
      <c r="F112" s="4" t="s">
        <v>353</v>
      </c>
      <c r="G112" s="4" t="s">
        <v>50</v>
      </c>
      <c r="H112" s="9"/>
      <c r="I112" s="41"/>
      <c r="J112" s="7" t="s">
        <v>354</v>
      </c>
      <c r="K112" s="7"/>
      <c r="L112" s="42" t="s">
        <v>355</v>
      </c>
      <c r="M112" s="53" t="s">
        <v>1</v>
      </c>
      <c r="N112" s="117"/>
      <c r="O112" s="6">
        <v>45930</v>
      </c>
      <c r="P112" s="112">
        <f>IF(Tabela3[[#This Row],[RETIRADA APÓS CALIBRAÇÃO (STANDBY)]]="","",Tabela3[[#This Row],[RETIRADA APÓS CALIBRAÇÃO (STANDBY)]]+365)</f>
        <v>46295</v>
      </c>
    </row>
    <row r="113" spans="1:16" s="2" customFormat="1" ht="165" customHeight="1" x14ac:dyDescent="0.5">
      <c r="A113" s="39"/>
      <c r="B113" s="147" t="s">
        <v>356</v>
      </c>
      <c r="C113" s="4" t="s">
        <v>351</v>
      </c>
      <c r="D113" s="7" t="s">
        <v>357</v>
      </c>
      <c r="E113" s="7" t="s">
        <v>358</v>
      </c>
      <c r="F113" s="7" t="s">
        <v>359</v>
      </c>
      <c r="G113" s="4" t="s">
        <v>50</v>
      </c>
      <c r="H113" s="7" t="s">
        <v>44</v>
      </c>
      <c r="I113" s="40" t="s">
        <v>1290</v>
      </c>
      <c r="J113" s="5" t="s">
        <v>354</v>
      </c>
      <c r="K113" s="5"/>
      <c r="L113" s="19" t="s">
        <v>360</v>
      </c>
      <c r="M113" s="42" t="s">
        <v>3</v>
      </c>
      <c r="N113" s="6">
        <v>45798</v>
      </c>
      <c r="O113" s="6">
        <v>45798</v>
      </c>
      <c r="P113" s="112">
        <f>IF(Tabela3[[#This Row],[RETIRADA APÓS CALIBRAÇÃO (STANDBY)]]="","",Tabela3[[#This Row],[RETIRADA APÓS CALIBRAÇÃO (STANDBY)]]+365)</f>
        <v>46163</v>
      </c>
    </row>
    <row r="114" spans="1:16" s="2" customFormat="1" ht="54.95" customHeight="1" x14ac:dyDescent="0.5">
      <c r="A114" s="39"/>
      <c r="B114" s="67" t="s">
        <v>361</v>
      </c>
      <c r="C114" s="4" t="s">
        <v>362</v>
      </c>
      <c r="D114" s="66" t="s">
        <v>363</v>
      </c>
      <c r="E114" s="7" t="s">
        <v>364</v>
      </c>
      <c r="F114" s="7"/>
      <c r="G114" s="4"/>
      <c r="H114" s="7" t="s">
        <v>12</v>
      </c>
      <c r="I114" s="19" t="s">
        <v>365</v>
      </c>
      <c r="J114" s="5" t="s">
        <v>129</v>
      </c>
      <c r="K114" s="5" t="s">
        <v>366</v>
      </c>
      <c r="L114" s="19" t="s">
        <v>367</v>
      </c>
      <c r="M114" s="42" t="s">
        <v>5</v>
      </c>
      <c r="N114" s="115"/>
      <c r="O114" s="6"/>
      <c r="P114" s="112" t="str">
        <f>IF(Tabela3[[#This Row],[RETIRADA APÓS CALIBRAÇÃO (STANDBY)]]="","",Tabela3[[#This Row],[RETIRADA APÓS CALIBRAÇÃO (STANDBY)]]+365)</f>
        <v/>
      </c>
    </row>
    <row r="115" spans="1:16" s="2" customFormat="1" ht="54.95" customHeight="1" x14ac:dyDescent="0.5">
      <c r="A115" s="39"/>
      <c r="B115" s="67" t="s">
        <v>368</v>
      </c>
      <c r="C115" s="4" t="s">
        <v>362</v>
      </c>
      <c r="D115" s="66" t="s">
        <v>369</v>
      </c>
      <c r="E115" s="7"/>
      <c r="F115" s="7"/>
      <c r="G115" s="4"/>
      <c r="H115" s="7" t="s">
        <v>12</v>
      </c>
      <c r="I115" s="19" t="s">
        <v>370</v>
      </c>
      <c r="J115" s="5" t="s">
        <v>129</v>
      </c>
      <c r="K115" s="5" t="s">
        <v>371</v>
      </c>
      <c r="L115" s="19" t="s">
        <v>372</v>
      </c>
      <c r="M115" s="42" t="s">
        <v>5</v>
      </c>
      <c r="N115" s="115"/>
      <c r="O115" s="6"/>
      <c r="P115" s="112" t="str">
        <f>IF(Tabela3[[#This Row],[RETIRADA APÓS CALIBRAÇÃO (STANDBY)]]="","",Tabela3[[#This Row],[RETIRADA APÓS CALIBRAÇÃO (STANDBY)]]+365)</f>
        <v/>
      </c>
    </row>
    <row r="116" spans="1:16" s="2" customFormat="1" ht="54.95" customHeight="1" x14ac:dyDescent="0.5">
      <c r="A116" s="39"/>
      <c r="B116" s="14" t="s">
        <v>373</v>
      </c>
      <c r="C116" s="4" t="s">
        <v>362</v>
      </c>
      <c r="D116" s="66" t="s">
        <v>374</v>
      </c>
      <c r="E116" s="7" t="s">
        <v>375</v>
      </c>
      <c r="F116" s="7">
        <v>758189</v>
      </c>
      <c r="G116" s="4"/>
      <c r="H116" s="7" t="s">
        <v>12</v>
      </c>
      <c r="I116" s="40" t="s">
        <v>1279</v>
      </c>
      <c r="J116" s="5" t="s">
        <v>129</v>
      </c>
      <c r="K116" s="5" t="s">
        <v>376</v>
      </c>
      <c r="L116" s="19" t="s">
        <v>377</v>
      </c>
      <c r="M116" s="42" t="s">
        <v>2</v>
      </c>
      <c r="N116" s="6">
        <v>45801</v>
      </c>
      <c r="O116" s="6">
        <v>45801</v>
      </c>
      <c r="P116" s="112">
        <f>IF(Tabela3[[#This Row],[RETIRADA APÓS CALIBRAÇÃO (STANDBY)]]="","",Tabela3[[#This Row],[RETIRADA APÓS CALIBRAÇÃO (STANDBY)]]+90)</f>
        <v>45891</v>
      </c>
    </row>
    <row r="117" spans="1:16" s="2" customFormat="1" ht="54.95" customHeight="1" x14ac:dyDescent="0.5">
      <c r="A117" s="39"/>
      <c r="B117" s="67" t="s">
        <v>378</v>
      </c>
      <c r="C117" s="4" t="s">
        <v>362</v>
      </c>
      <c r="D117" s="66" t="s">
        <v>379</v>
      </c>
      <c r="E117" s="7"/>
      <c r="F117" s="7"/>
      <c r="G117" s="4"/>
      <c r="H117" s="7" t="s">
        <v>44</v>
      </c>
      <c r="I117" s="19"/>
      <c r="J117" s="5" t="s">
        <v>380</v>
      </c>
      <c r="K117" s="5"/>
      <c r="L117" s="19"/>
      <c r="M117" s="42" t="s">
        <v>5</v>
      </c>
      <c r="N117" s="115"/>
      <c r="O117" s="6"/>
      <c r="P117" s="112" t="str">
        <f>IF(Tabela3[[#This Row],[RETIRADA APÓS CALIBRAÇÃO (STANDBY)]]="","",Tabela3[[#This Row],[RETIRADA APÓS CALIBRAÇÃO (STANDBY)]]+365)</f>
        <v/>
      </c>
    </row>
    <row r="118" spans="1:16" s="2" customFormat="1" ht="54.95" customHeight="1" x14ac:dyDescent="0.5">
      <c r="A118" s="39"/>
      <c r="B118" s="107" t="s">
        <v>381</v>
      </c>
      <c r="C118" s="4" t="s">
        <v>362</v>
      </c>
      <c r="D118" s="7" t="s">
        <v>382</v>
      </c>
      <c r="E118" s="9" t="s">
        <v>383</v>
      </c>
      <c r="F118" s="9">
        <v>9276</v>
      </c>
      <c r="G118" s="9"/>
      <c r="H118" s="9" t="s">
        <v>44</v>
      </c>
      <c r="I118" s="40" t="s">
        <v>384</v>
      </c>
      <c r="J118" s="10"/>
      <c r="K118" s="10"/>
      <c r="L118" s="43" t="s">
        <v>385</v>
      </c>
      <c r="M118" s="42"/>
      <c r="N118" s="115"/>
      <c r="O118" s="6">
        <v>45504</v>
      </c>
      <c r="P118" s="112">
        <f>IF(Tabela3[[#This Row],[RETIRADA APÓS CALIBRAÇÃO (STANDBY)]]="","",Tabela3[[#This Row],[RETIRADA APÓS CALIBRAÇÃO (STANDBY)]]+90)</f>
        <v>45594</v>
      </c>
    </row>
    <row r="119" spans="1:16" s="2" customFormat="1" ht="72.75" customHeight="1" x14ac:dyDescent="0.5">
      <c r="A119" s="39"/>
      <c r="B119" s="12" t="s">
        <v>386</v>
      </c>
      <c r="C119" s="7" t="s">
        <v>362</v>
      </c>
      <c r="D119" s="19" t="s">
        <v>387</v>
      </c>
      <c r="E119" s="7" t="s">
        <v>375</v>
      </c>
      <c r="F119" s="7"/>
      <c r="G119" s="7"/>
      <c r="H119" s="7" t="s">
        <v>44</v>
      </c>
      <c r="I119" s="19"/>
      <c r="J119" s="54" t="s">
        <v>380</v>
      </c>
      <c r="K119" s="7"/>
      <c r="L119" s="19" t="s">
        <v>388</v>
      </c>
      <c r="M119" s="19" t="s">
        <v>1</v>
      </c>
      <c r="N119" s="6">
        <v>46056</v>
      </c>
      <c r="O119" s="6" t="s">
        <v>1282</v>
      </c>
      <c r="P119" s="112" t="e">
        <f>IF(Tabela3[[#This Row],[RETIRADA APÓS CALIBRAÇÃO (STANDBY)]]="","",Tabela3[[#This Row],[RETIRADA APÓS CALIBRAÇÃO (STANDBY)]]+90)</f>
        <v>#VALUE!</v>
      </c>
    </row>
    <row r="120" spans="1:16" s="2" customFormat="1" ht="77.25" customHeight="1" x14ac:dyDescent="0.5">
      <c r="A120" s="39"/>
      <c r="B120" s="13" t="s">
        <v>389</v>
      </c>
      <c r="C120" s="9" t="s">
        <v>362</v>
      </c>
      <c r="D120" s="64" t="s">
        <v>390</v>
      </c>
      <c r="E120" s="69" t="s">
        <v>391</v>
      </c>
      <c r="F120" s="69"/>
      <c r="G120" s="69" t="s">
        <v>392</v>
      </c>
      <c r="H120" s="69" t="s">
        <v>44</v>
      </c>
      <c r="I120" s="60"/>
      <c r="J120" s="54" t="s">
        <v>380</v>
      </c>
      <c r="K120" s="54"/>
      <c r="L120" s="53" t="s">
        <v>1205</v>
      </c>
      <c r="M120" s="53" t="s">
        <v>1</v>
      </c>
      <c r="N120" s="117">
        <v>46182</v>
      </c>
      <c r="O120" s="103">
        <v>46182</v>
      </c>
      <c r="P120" s="112">
        <f>IF(Tabela3[[#This Row],[RETIRADA APÓS CALIBRAÇÃO (STANDBY)]]="","",Tabela3[[#This Row],[RETIRADA APÓS CALIBRAÇÃO (STANDBY)]]+90)</f>
        <v>46272</v>
      </c>
    </row>
    <row r="121" spans="1:16" s="2" customFormat="1" ht="54.75" customHeight="1" x14ac:dyDescent="0.5">
      <c r="A121" s="39"/>
      <c r="B121" s="16" t="s">
        <v>393</v>
      </c>
      <c r="C121" s="4" t="s">
        <v>362</v>
      </c>
      <c r="D121" s="64" t="s">
        <v>394</v>
      </c>
      <c r="E121" s="4" t="s">
        <v>395</v>
      </c>
      <c r="F121" s="4" t="s">
        <v>396</v>
      </c>
      <c r="G121" s="4" t="s">
        <v>397</v>
      </c>
      <c r="H121" s="9" t="s">
        <v>44</v>
      </c>
      <c r="I121" s="18"/>
      <c r="J121" s="54" t="s">
        <v>380</v>
      </c>
      <c r="K121" s="18"/>
      <c r="L121" s="18" t="s">
        <v>398</v>
      </c>
      <c r="M121" s="43" t="s">
        <v>1</v>
      </c>
      <c r="N121" s="6">
        <v>46092</v>
      </c>
      <c r="O121" s="6" t="s">
        <v>1282</v>
      </c>
      <c r="P121" s="112" t="e">
        <f>IF(Tabela3[[#This Row],[RETIRADA APÓS CALIBRAÇÃO (STANDBY)]]="","",Tabela3[[#This Row],[RETIRADA APÓS CALIBRAÇÃO (STANDBY)]]+90)</f>
        <v>#VALUE!</v>
      </c>
    </row>
    <row r="122" spans="1:16" s="2" customFormat="1" ht="54.95" customHeight="1" x14ac:dyDescent="0.5">
      <c r="A122" s="39"/>
      <c r="B122" s="12" t="s">
        <v>399</v>
      </c>
      <c r="C122" s="4" t="s">
        <v>362</v>
      </c>
      <c r="D122" s="19" t="s">
        <v>400</v>
      </c>
      <c r="E122" s="7" t="s">
        <v>401</v>
      </c>
      <c r="F122" s="7" t="s">
        <v>402</v>
      </c>
      <c r="G122" s="7"/>
      <c r="H122" s="7" t="s">
        <v>44</v>
      </c>
      <c r="I122" s="19" t="s">
        <v>1134</v>
      </c>
      <c r="J122" s="54" t="s">
        <v>380</v>
      </c>
      <c r="K122" s="7"/>
      <c r="L122" s="19" t="s">
        <v>1202</v>
      </c>
      <c r="M122" s="43" t="s">
        <v>1</v>
      </c>
      <c r="N122" s="6">
        <v>46182</v>
      </c>
      <c r="O122" s="6">
        <v>46183</v>
      </c>
      <c r="P122" s="112">
        <f>IF(Tabela3[[#This Row],[RETIRADA APÓS CALIBRAÇÃO (STANDBY)]]="","",Tabela3[[#This Row],[RETIRADA APÓS CALIBRAÇÃO (STANDBY)]]+90)</f>
        <v>46273</v>
      </c>
    </row>
    <row r="123" spans="1:16" s="2" customFormat="1" ht="54.95" customHeight="1" x14ac:dyDescent="0.5">
      <c r="A123" s="39"/>
      <c r="B123" s="12" t="s">
        <v>403</v>
      </c>
      <c r="C123" s="4" t="s">
        <v>362</v>
      </c>
      <c r="D123" s="19" t="s">
        <v>404</v>
      </c>
      <c r="E123" s="7" t="s">
        <v>401</v>
      </c>
      <c r="F123" s="7">
        <v>1694996</v>
      </c>
      <c r="G123" s="7"/>
      <c r="H123" s="7" t="s">
        <v>44</v>
      </c>
      <c r="I123" s="19" t="s">
        <v>1134</v>
      </c>
      <c r="J123" s="54" t="s">
        <v>380</v>
      </c>
      <c r="K123" s="7"/>
      <c r="L123" s="19" t="s">
        <v>1206</v>
      </c>
      <c r="M123" s="43" t="s">
        <v>1</v>
      </c>
      <c r="N123" s="6">
        <v>46182</v>
      </c>
      <c r="O123" s="6">
        <v>46182</v>
      </c>
      <c r="P123" s="112">
        <f>IF(Tabela3[[#This Row],[RETIRADA APÓS CALIBRAÇÃO (STANDBY)]]="","",Tabela3[[#This Row],[RETIRADA APÓS CALIBRAÇÃO (STANDBY)]]+90)</f>
        <v>46272</v>
      </c>
    </row>
    <row r="124" spans="1:16" s="2" customFormat="1" ht="94.5" customHeight="1" x14ac:dyDescent="0.5">
      <c r="A124" s="39"/>
      <c r="B124" s="12" t="s">
        <v>405</v>
      </c>
      <c r="C124" s="4" t="s">
        <v>362</v>
      </c>
      <c r="D124" s="19" t="s">
        <v>406</v>
      </c>
      <c r="E124" s="7" t="s">
        <v>375</v>
      </c>
      <c r="F124" s="7" t="s">
        <v>407</v>
      </c>
      <c r="G124" s="7"/>
      <c r="H124" s="7" t="s">
        <v>44</v>
      </c>
      <c r="I124" s="19" t="s">
        <v>1134</v>
      </c>
      <c r="J124" s="54" t="s">
        <v>380</v>
      </c>
      <c r="K124" s="7"/>
      <c r="L124" s="19" t="s">
        <v>1200</v>
      </c>
      <c r="M124" s="43" t="s">
        <v>1</v>
      </c>
      <c r="N124" s="6">
        <v>46182</v>
      </c>
      <c r="O124" s="6">
        <v>46183</v>
      </c>
      <c r="P124" s="112">
        <f>IF(Tabela3[[#This Row],[RETIRADA APÓS CALIBRAÇÃO (STANDBY)]]="","",Tabela3[[#This Row],[RETIRADA APÓS CALIBRAÇÃO (STANDBY)]]+90)</f>
        <v>46273</v>
      </c>
    </row>
    <row r="125" spans="1:16" s="2" customFormat="1" ht="84.75" customHeight="1" x14ac:dyDescent="0.5">
      <c r="A125" s="39"/>
      <c r="B125" s="12" t="s">
        <v>408</v>
      </c>
      <c r="C125" s="4" t="s">
        <v>362</v>
      </c>
      <c r="D125" s="19" t="s">
        <v>409</v>
      </c>
      <c r="E125" s="7" t="s">
        <v>410</v>
      </c>
      <c r="F125" s="7" t="s">
        <v>411</v>
      </c>
      <c r="G125" s="7" t="s">
        <v>392</v>
      </c>
      <c r="H125" s="7" t="s">
        <v>44</v>
      </c>
      <c r="I125" s="19"/>
      <c r="J125" s="7" t="s">
        <v>380</v>
      </c>
      <c r="K125" s="7"/>
      <c r="L125" s="19" t="s">
        <v>412</v>
      </c>
      <c r="M125" s="43" t="s">
        <v>1</v>
      </c>
      <c r="N125" s="6">
        <v>46056</v>
      </c>
      <c r="O125" s="6" t="s">
        <v>1282</v>
      </c>
      <c r="P125" s="112" t="e">
        <f>IF(Tabela3[[#This Row],[RETIRADA APÓS CALIBRAÇÃO (STANDBY)]]="","",Tabela3[[#This Row],[RETIRADA APÓS CALIBRAÇÃO (STANDBY)]]+90)</f>
        <v>#VALUE!</v>
      </c>
    </row>
    <row r="126" spans="1:16" s="2" customFormat="1" ht="54.95" customHeight="1" x14ac:dyDescent="0.5">
      <c r="A126" s="39"/>
      <c r="B126" s="14" t="s">
        <v>413</v>
      </c>
      <c r="C126" s="4" t="s">
        <v>362</v>
      </c>
      <c r="D126" s="95" t="s">
        <v>414</v>
      </c>
      <c r="E126" s="7" t="s">
        <v>410</v>
      </c>
      <c r="F126" s="7">
        <v>107244</v>
      </c>
      <c r="G126" s="7" t="s">
        <v>392</v>
      </c>
      <c r="H126" s="7" t="s">
        <v>415</v>
      </c>
      <c r="I126" s="19" t="s">
        <v>416</v>
      </c>
      <c r="J126" s="7" t="s">
        <v>380</v>
      </c>
      <c r="K126" s="7"/>
      <c r="L126" s="19" t="s">
        <v>417</v>
      </c>
      <c r="M126" s="43" t="s">
        <v>2</v>
      </c>
      <c r="N126" s="6">
        <v>45887</v>
      </c>
      <c r="O126" s="6">
        <v>45887</v>
      </c>
      <c r="P126" s="112">
        <f>IF(Tabela3[[#This Row],[RETIRADA APÓS CALIBRAÇÃO (STANDBY)]]="","",Tabela3[[#This Row],[RETIRADA APÓS CALIBRAÇÃO (STANDBY)]]+180)</f>
        <v>46067</v>
      </c>
    </row>
    <row r="127" spans="1:16" s="2" customFormat="1" ht="54.95" customHeight="1" x14ac:dyDescent="0.5">
      <c r="A127" s="39"/>
      <c r="B127" s="12" t="s">
        <v>418</v>
      </c>
      <c r="C127" s="4" t="s">
        <v>362</v>
      </c>
      <c r="D127" s="19" t="s">
        <v>419</v>
      </c>
      <c r="E127" s="7" t="s">
        <v>401</v>
      </c>
      <c r="F127" s="7" t="s">
        <v>420</v>
      </c>
      <c r="G127" s="7"/>
      <c r="H127" s="7" t="s">
        <v>44</v>
      </c>
      <c r="I127" s="19"/>
      <c r="J127" s="7" t="s">
        <v>380</v>
      </c>
      <c r="K127" s="7"/>
      <c r="L127" s="19" t="s">
        <v>1201</v>
      </c>
      <c r="M127" s="43" t="s">
        <v>1</v>
      </c>
      <c r="N127" s="6">
        <v>46182</v>
      </c>
      <c r="O127" s="6">
        <v>46182</v>
      </c>
      <c r="P127" s="112">
        <f>IF(Tabela3[[#This Row],[RETIRADA APÓS CALIBRAÇÃO (STANDBY)]]="","",Tabela3[[#This Row],[RETIRADA APÓS CALIBRAÇÃO (STANDBY)]]+90)</f>
        <v>46272</v>
      </c>
    </row>
    <row r="128" spans="1:16" s="2" customFormat="1" ht="89.25" customHeight="1" x14ac:dyDescent="0.5">
      <c r="A128" s="39"/>
      <c r="B128" s="106" t="s">
        <v>421</v>
      </c>
      <c r="C128" s="4" t="s">
        <v>362</v>
      </c>
      <c r="D128" s="95" t="s">
        <v>422</v>
      </c>
      <c r="E128" s="7" t="s">
        <v>423</v>
      </c>
      <c r="F128" s="7" t="s">
        <v>424</v>
      </c>
      <c r="G128" s="7"/>
      <c r="H128" s="7" t="s">
        <v>415</v>
      </c>
      <c r="I128" s="19" t="s">
        <v>384</v>
      </c>
      <c r="J128" s="7" t="s">
        <v>129</v>
      </c>
      <c r="K128" s="7"/>
      <c r="L128" s="19" t="s">
        <v>425</v>
      </c>
      <c r="M128" s="43"/>
      <c r="N128" s="116"/>
      <c r="O128" s="6">
        <v>45405</v>
      </c>
      <c r="P128" s="112">
        <f>IF(Tabela3[[#This Row],[RETIRADA APÓS CALIBRAÇÃO (STANDBY)]]="","",Tabela3[[#This Row],[RETIRADA APÓS CALIBRAÇÃO (STANDBY)]]+365)</f>
        <v>45770</v>
      </c>
    </row>
    <row r="129" spans="1:17" s="2" customFormat="1" ht="102" customHeight="1" x14ac:dyDescent="0.5">
      <c r="A129" s="39"/>
      <c r="B129" s="147" t="s">
        <v>426</v>
      </c>
      <c r="C129" s="4" t="s">
        <v>362</v>
      </c>
      <c r="D129" s="95" t="s">
        <v>427</v>
      </c>
      <c r="E129" s="7" t="s">
        <v>423</v>
      </c>
      <c r="F129" s="7" t="s">
        <v>428</v>
      </c>
      <c r="G129" s="7" t="s">
        <v>429</v>
      </c>
      <c r="H129" s="7" t="s">
        <v>44</v>
      </c>
      <c r="I129" s="40" t="s">
        <v>1291</v>
      </c>
      <c r="J129" s="7" t="s">
        <v>380</v>
      </c>
      <c r="K129" s="7"/>
      <c r="L129" s="19" t="s">
        <v>1124</v>
      </c>
      <c r="M129" s="43" t="s">
        <v>3</v>
      </c>
      <c r="N129" s="6">
        <v>45887</v>
      </c>
      <c r="O129" s="6">
        <v>45887</v>
      </c>
      <c r="P129" s="112">
        <f>IF(Tabela3[[#This Row],[RETIRADA APÓS CALIBRAÇÃO (STANDBY)]]="","",Tabela3[[#This Row],[RETIRADA APÓS CALIBRAÇÃO (STANDBY)]]+90)</f>
        <v>45977</v>
      </c>
    </row>
    <row r="130" spans="1:17" s="2" customFormat="1" ht="54.95" customHeight="1" x14ac:dyDescent="0.5">
      <c r="A130" s="39"/>
      <c r="B130" s="67" t="s">
        <v>430</v>
      </c>
      <c r="C130" s="4" t="s">
        <v>362</v>
      </c>
      <c r="D130" s="95" t="s">
        <v>431</v>
      </c>
      <c r="E130" s="7"/>
      <c r="F130" s="7"/>
      <c r="G130" s="7"/>
      <c r="H130" s="7" t="s">
        <v>44</v>
      </c>
      <c r="I130" s="19"/>
      <c r="J130" s="7" t="s">
        <v>432</v>
      </c>
      <c r="K130" s="7"/>
      <c r="L130" s="19"/>
      <c r="M130" s="43" t="s">
        <v>5</v>
      </c>
      <c r="N130" s="116"/>
      <c r="O130" s="6"/>
      <c r="P130" s="112" t="str">
        <f>IF(Tabela3[[#This Row],[RETIRADA APÓS CALIBRAÇÃO (STANDBY)]]="","",Tabela3[[#This Row],[RETIRADA APÓS CALIBRAÇÃO (STANDBY)]]+365)</f>
        <v/>
      </c>
    </row>
    <row r="131" spans="1:17" s="2" customFormat="1" ht="54.95" customHeight="1" x14ac:dyDescent="0.5">
      <c r="A131" s="39"/>
      <c r="B131" s="14" t="s">
        <v>433</v>
      </c>
      <c r="C131" s="4" t="s">
        <v>362</v>
      </c>
      <c r="D131" s="95" t="s">
        <v>434</v>
      </c>
      <c r="E131" s="7"/>
      <c r="F131" s="7"/>
      <c r="G131" s="7"/>
      <c r="H131" s="7" t="s">
        <v>415</v>
      </c>
      <c r="I131" s="40" t="s">
        <v>1279</v>
      </c>
      <c r="J131" s="7" t="s">
        <v>129</v>
      </c>
      <c r="K131" s="7"/>
      <c r="L131" s="19"/>
      <c r="M131" s="43" t="s">
        <v>2</v>
      </c>
      <c r="N131" s="116"/>
      <c r="O131" s="6"/>
      <c r="P131" s="112" t="str">
        <f>IF(Tabela3[[#This Row],[RETIRADA APÓS CALIBRAÇÃO (STANDBY)]]="","",Tabela3[[#This Row],[RETIRADA APÓS CALIBRAÇÃO (STANDBY)]]+365)</f>
        <v/>
      </c>
    </row>
    <row r="132" spans="1:17" s="2" customFormat="1" ht="84.75" customHeight="1" x14ac:dyDescent="0.5">
      <c r="A132" s="39"/>
      <c r="B132" s="14" t="s">
        <v>435</v>
      </c>
      <c r="C132" s="4" t="s">
        <v>362</v>
      </c>
      <c r="D132" s="95" t="s">
        <v>436</v>
      </c>
      <c r="E132" s="7"/>
      <c r="F132" s="7"/>
      <c r="G132" s="7"/>
      <c r="H132" s="7" t="s">
        <v>415</v>
      </c>
      <c r="I132" s="40" t="s">
        <v>1279</v>
      </c>
      <c r="J132" s="7" t="s">
        <v>129</v>
      </c>
      <c r="K132" s="7"/>
      <c r="L132" s="19"/>
      <c r="M132" s="43" t="s">
        <v>2</v>
      </c>
      <c r="N132" s="116"/>
      <c r="O132" s="6"/>
      <c r="P132" s="112" t="str">
        <f>IF(Tabela3[[#This Row],[RETIRADA APÓS CALIBRAÇÃO (STANDBY)]]="","",Tabela3[[#This Row],[RETIRADA APÓS CALIBRAÇÃO (STANDBY)]]+365)</f>
        <v/>
      </c>
    </row>
    <row r="133" spans="1:17" s="2" customFormat="1" ht="45" customHeight="1" x14ac:dyDescent="0.5">
      <c r="A133" s="39"/>
      <c r="B133" s="12" t="s">
        <v>437</v>
      </c>
      <c r="C133" s="7" t="s">
        <v>362</v>
      </c>
      <c r="D133" s="19" t="s">
        <v>438</v>
      </c>
      <c r="E133" s="7" t="s">
        <v>410</v>
      </c>
      <c r="F133" s="7" t="s">
        <v>439</v>
      </c>
      <c r="G133" s="7" t="s">
        <v>440</v>
      </c>
      <c r="H133" s="7" t="s">
        <v>44</v>
      </c>
      <c r="I133" s="19"/>
      <c r="J133" s="7" t="s">
        <v>380</v>
      </c>
      <c r="K133" s="7"/>
      <c r="L133" s="19" t="s">
        <v>441</v>
      </c>
      <c r="M133" s="19" t="s">
        <v>1</v>
      </c>
      <c r="N133" s="114">
        <v>46056</v>
      </c>
      <c r="O133" s="6" t="s">
        <v>1281</v>
      </c>
      <c r="P133" s="112" t="e">
        <f>IF(Tabela3[[#This Row],[RETIRADA APÓS CALIBRAÇÃO (STANDBY)]]="","",Tabela3[[#This Row],[RETIRADA APÓS CALIBRAÇÃO (STANDBY)]]+90)</f>
        <v>#VALUE!</v>
      </c>
    </row>
    <row r="134" spans="1:17" s="2" customFormat="1" ht="54.95" customHeight="1" x14ac:dyDescent="0.5">
      <c r="A134" s="39"/>
      <c r="B134" s="147" t="s">
        <v>442</v>
      </c>
      <c r="C134" s="4" t="s">
        <v>362</v>
      </c>
      <c r="D134" s="95" t="s">
        <v>443</v>
      </c>
      <c r="E134" s="7" t="s">
        <v>375</v>
      </c>
      <c r="F134" s="7"/>
      <c r="G134" s="7"/>
      <c r="H134" s="7"/>
      <c r="I134" s="40" t="s">
        <v>1292</v>
      </c>
      <c r="J134" s="7" t="s">
        <v>380</v>
      </c>
      <c r="K134" s="7" t="s">
        <v>444</v>
      </c>
      <c r="L134" s="19" t="s">
        <v>445</v>
      </c>
      <c r="M134" s="43" t="s">
        <v>3</v>
      </c>
      <c r="N134" s="116"/>
      <c r="O134" s="6">
        <v>45930</v>
      </c>
      <c r="P134" s="112">
        <f>IF(Tabela3[[#This Row],[RETIRADA APÓS CALIBRAÇÃO (STANDBY)]]="","",Tabela3[[#This Row],[RETIRADA APÓS CALIBRAÇÃO (STANDBY)]]+90)</f>
        <v>46020</v>
      </c>
    </row>
    <row r="135" spans="1:17" s="2" customFormat="1" ht="54.95" customHeight="1" x14ac:dyDescent="0.5">
      <c r="A135" s="39"/>
      <c r="B135" s="14" t="s">
        <v>446</v>
      </c>
      <c r="C135" s="7" t="s">
        <v>362</v>
      </c>
      <c r="D135" s="19" t="s">
        <v>447</v>
      </c>
      <c r="E135" s="7" t="s">
        <v>410</v>
      </c>
      <c r="F135" s="7" t="s">
        <v>448</v>
      </c>
      <c r="G135" s="7" t="s">
        <v>449</v>
      </c>
      <c r="H135" s="7" t="s">
        <v>44</v>
      </c>
      <c r="I135" s="19" t="s">
        <v>450</v>
      </c>
      <c r="J135" s="7"/>
      <c r="K135" s="7"/>
      <c r="L135" s="19" t="s">
        <v>451</v>
      </c>
      <c r="M135" s="19" t="s">
        <v>2</v>
      </c>
      <c r="N135" s="114"/>
      <c r="O135" s="6">
        <v>45887</v>
      </c>
      <c r="P135" s="112">
        <f>IF(Tabela3[[#This Row],[RETIRADA APÓS CALIBRAÇÃO (STANDBY)]]="","",Tabela3[[#This Row],[RETIRADA APÓS CALIBRAÇÃO (STANDBY)]]+90)</f>
        <v>45977</v>
      </c>
    </row>
    <row r="136" spans="1:17" s="2" customFormat="1" ht="54.95" customHeight="1" x14ac:dyDescent="0.5">
      <c r="A136" s="39"/>
      <c r="B136" s="147" t="s">
        <v>452</v>
      </c>
      <c r="C136" s="4" t="s">
        <v>362</v>
      </c>
      <c r="D136" s="95" t="s">
        <v>453</v>
      </c>
      <c r="E136" s="7" t="s">
        <v>1038</v>
      </c>
      <c r="F136" s="7"/>
      <c r="G136" s="7"/>
      <c r="H136" s="7" t="s">
        <v>44</v>
      </c>
      <c r="I136" s="19" t="s">
        <v>1280</v>
      </c>
      <c r="J136" s="7" t="s">
        <v>380</v>
      </c>
      <c r="K136" s="7"/>
      <c r="L136" s="19" t="s">
        <v>454</v>
      </c>
      <c r="M136" s="43" t="s">
        <v>3</v>
      </c>
      <c r="N136" s="6">
        <v>46092</v>
      </c>
      <c r="O136" s="6">
        <v>46092</v>
      </c>
      <c r="P136" s="112">
        <f>IF(Tabela3[[#This Row],[RETIRADA APÓS CALIBRAÇÃO (STANDBY)]]="","",Tabela3[[#This Row],[RETIRADA APÓS CALIBRAÇÃO (STANDBY)]]+90)</f>
        <v>46182</v>
      </c>
    </row>
    <row r="137" spans="1:17" s="2" customFormat="1" ht="54.95" customHeight="1" x14ac:dyDescent="0.5">
      <c r="A137" s="39"/>
      <c r="B137" s="12" t="s">
        <v>455</v>
      </c>
      <c r="C137" s="4" t="s">
        <v>362</v>
      </c>
      <c r="D137" s="95" t="s">
        <v>456</v>
      </c>
      <c r="E137" s="7" t="s">
        <v>410</v>
      </c>
      <c r="F137" s="7" t="s">
        <v>457</v>
      </c>
      <c r="G137" s="7" t="s">
        <v>392</v>
      </c>
      <c r="H137" s="7" t="s">
        <v>415</v>
      </c>
      <c r="I137" s="40"/>
      <c r="J137" s="7" t="s">
        <v>458</v>
      </c>
      <c r="K137" s="7"/>
      <c r="L137" s="19" t="s">
        <v>1039</v>
      </c>
      <c r="M137" s="43" t="s">
        <v>1</v>
      </c>
      <c r="N137" s="6">
        <v>46062</v>
      </c>
      <c r="O137" s="40" t="s">
        <v>1281</v>
      </c>
      <c r="P137" s="112" t="e">
        <f>IF(Tabela3[[#This Row],[RETIRADA APÓS CALIBRAÇÃO (STANDBY)]]="","",Tabela3[[#This Row],[RETIRADA APÓS CALIBRAÇÃO (STANDBY)]]+90)</f>
        <v>#VALUE!</v>
      </c>
    </row>
    <row r="138" spans="1:17" s="2" customFormat="1" ht="122.25" customHeight="1" x14ac:dyDescent="0.5">
      <c r="A138" s="39"/>
      <c r="B138" s="147" t="s">
        <v>459</v>
      </c>
      <c r="C138" s="4" t="s">
        <v>362</v>
      </c>
      <c r="D138" s="95" t="s">
        <v>460</v>
      </c>
      <c r="E138" s="7" t="s">
        <v>375</v>
      </c>
      <c r="F138" s="7">
        <v>5940671</v>
      </c>
      <c r="G138" s="7"/>
      <c r="H138" s="7"/>
      <c r="I138" s="40" t="s">
        <v>1293</v>
      </c>
      <c r="J138" s="7" t="s">
        <v>380</v>
      </c>
      <c r="K138" s="7"/>
      <c r="L138" s="19"/>
      <c r="M138" s="43" t="s">
        <v>3</v>
      </c>
      <c r="N138" s="116"/>
      <c r="O138" s="6"/>
      <c r="P138" s="112" t="str">
        <f>IF(Tabela3[[#This Row],[RETIRADA APÓS CALIBRAÇÃO (STANDBY)]]="","",Tabela3[[#This Row],[RETIRADA APÓS CALIBRAÇÃO (STANDBY)]]+180)</f>
        <v/>
      </c>
    </row>
    <row r="139" spans="1:17" s="2" customFormat="1" ht="54.95" customHeight="1" x14ac:dyDescent="0.5">
      <c r="A139" s="39"/>
      <c r="B139" s="12" t="s">
        <v>461</v>
      </c>
      <c r="C139" s="4" t="s">
        <v>362</v>
      </c>
      <c r="D139" s="95" t="s">
        <v>462</v>
      </c>
      <c r="E139" s="7" t="s">
        <v>410</v>
      </c>
      <c r="F139" s="7" t="s">
        <v>463</v>
      </c>
      <c r="G139" s="7" t="s">
        <v>392</v>
      </c>
      <c r="H139" s="7" t="s">
        <v>44</v>
      </c>
      <c r="I139" s="19"/>
      <c r="J139" s="7" t="s">
        <v>380</v>
      </c>
      <c r="K139" s="7"/>
      <c r="L139" s="19" t="s">
        <v>1199</v>
      </c>
      <c r="M139" s="43" t="s">
        <v>1</v>
      </c>
      <c r="N139" s="116">
        <v>46182</v>
      </c>
      <c r="O139" s="116">
        <v>46183</v>
      </c>
      <c r="P139" s="112">
        <f>IF(Tabela3[[#This Row],[RETIRADA APÓS CALIBRAÇÃO (STANDBY)]]="","",Tabela3[[#This Row],[RETIRADA APÓS CALIBRAÇÃO (STANDBY)]]+90)</f>
        <v>46273</v>
      </c>
    </row>
    <row r="140" spans="1:17" s="2" customFormat="1" ht="99.75" customHeight="1" x14ac:dyDescent="0.5">
      <c r="A140" s="39"/>
      <c r="B140" s="147" t="s">
        <v>464</v>
      </c>
      <c r="C140" s="105" t="s">
        <v>362</v>
      </c>
      <c r="D140" s="7" t="s">
        <v>409</v>
      </c>
      <c r="E140" s="7" t="s">
        <v>410</v>
      </c>
      <c r="F140" s="7" t="s">
        <v>465</v>
      </c>
      <c r="G140" s="7" t="s">
        <v>392</v>
      </c>
      <c r="H140" s="7" t="s">
        <v>44</v>
      </c>
      <c r="I140" s="40" t="s">
        <v>1292</v>
      </c>
      <c r="J140" s="7" t="s">
        <v>458</v>
      </c>
      <c r="K140" s="7"/>
      <c r="L140" s="19"/>
      <c r="M140" s="43" t="s">
        <v>3</v>
      </c>
      <c r="N140" s="116"/>
      <c r="O140" s="6"/>
      <c r="P140" s="112" t="str">
        <f>IF(Tabela3[[#This Row],[RETIRADA APÓS CALIBRAÇÃO (STANDBY)]]="","",Tabela3[[#This Row],[RETIRADA APÓS CALIBRAÇÃO (STANDBY)]]+180)</f>
        <v/>
      </c>
    </row>
    <row r="141" spans="1:17" s="2" customFormat="1" ht="60" x14ac:dyDescent="0.5">
      <c r="A141" s="39"/>
      <c r="B141" s="12" t="s">
        <v>466</v>
      </c>
      <c r="C141" s="105" t="s">
        <v>362</v>
      </c>
      <c r="D141" s="19" t="s">
        <v>467</v>
      </c>
      <c r="E141" s="7" t="s">
        <v>468</v>
      </c>
      <c r="F141" s="7"/>
      <c r="G141" s="7" t="s">
        <v>392</v>
      </c>
      <c r="H141" s="7" t="s">
        <v>44</v>
      </c>
      <c r="I141" s="19" t="s">
        <v>469</v>
      </c>
      <c r="J141" s="7"/>
      <c r="K141" s="7"/>
      <c r="L141" s="19" t="s">
        <v>1203</v>
      </c>
      <c r="M141" s="43" t="s">
        <v>1</v>
      </c>
      <c r="N141" s="116">
        <v>46182</v>
      </c>
      <c r="O141" s="116">
        <v>46182</v>
      </c>
      <c r="P141" s="112">
        <f>IF(Tabela3[[#This Row],[RETIRADA APÓS CALIBRAÇÃO (STANDBY)]]="","",Tabela3[[#This Row],[RETIRADA APÓS CALIBRAÇÃO (STANDBY)]]+90)</f>
        <v>46272</v>
      </c>
    </row>
    <row r="142" spans="1:17" s="2" customFormat="1" ht="112.5" customHeight="1" x14ac:dyDescent="0.5">
      <c r="A142" s="39"/>
      <c r="B142" s="12" t="s">
        <v>470</v>
      </c>
      <c r="C142" s="105" t="s">
        <v>362</v>
      </c>
      <c r="D142" s="7" t="s">
        <v>471</v>
      </c>
      <c r="E142" s="7" t="s">
        <v>468</v>
      </c>
      <c r="F142" s="7"/>
      <c r="G142" s="7" t="s">
        <v>392</v>
      </c>
      <c r="H142" s="7" t="s">
        <v>44</v>
      </c>
      <c r="I142" s="19" t="s">
        <v>469</v>
      </c>
      <c r="J142" s="7"/>
      <c r="K142" s="7"/>
      <c r="L142" s="19" t="s">
        <v>1204</v>
      </c>
      <c r="M142" s="43" t="s">
        <v>1</v>
      </c>
      <c r="N142" s="116">
        <v>46182</v>
      </c>
      <c r="O142" s="6">
        <v>46182</v>
      </c>
      <c r="P142" s="112">
        <f>IF(Tabela3[[#This Row],[RETIRADA APÓS CALIBRAÇÃO (STANDBY)]]="","",Tabela3[[#This Row],[RETIRADA APÓS CALIBRAÇÃO (STANDBY)]]+90)</f>
        <v>46272</v>
      </c>
      <c r="Q142" s="112"/>
    </row>
    <row r="143" spans="1:17" s="2" customFormat="1" ht="52.5" customHeight="1" x14ac:dyDescent="0.5">
      <c r="A143" s="39"/>
      <c r="B143" s="12" t="s">
        <v>472</v>
      </c>
      <c r="C143" s="105" t="s">
        <v>362</v>
      </c>
      <c r="D143" s="7" t="s">
        <v>1283</v>
      </c>
      <c r="E143" s="7" t="s">
        <v>375</v>
      </c>
      <c r="F143" s="7"/>
      <c r="G143" s="7" t="s">
        <v>473</v>
      </c>
      <c r="H143" s="7" t="s">
        <v>44</v>
      </c>
      <c r="I143" s="40"/>
      <c r="J143" s="7"/>
      <c r="K143" s="7"/>
      <c r="L143" s="19" t="s">
        <v>474</v>
      </c>
      <c r="M143" s="43" t="s">
        <v>1</v>
      </c>
      <c r="N143" s="116">
        <v>46077</v>
      </c>
      <c r="O143" s="40">
        <v>46232</v>
      </c>
      <c r="P143" s="112">
        <f>IF(Tabela3[[#This Row],[RETIRADA APÓS CALIBRAÇÃO (STANDBY)]]="","",Tabela3[[#This Row],[RETIRADA APÓS CALIBRAÇÃO (STANDBY)]]+90)</f>
        <v>46322</v>
      </c>
    </row>
    <row r="144" spans="1:17" s="2" customFormat="1" ht="52.5" customHeight="1" x14ac:dyDescent="0.5">
      <c r="A144" s="39"/>
      <c r="B144" s="14" t="s">
        <v>1214</v>
      </c>
      <c r="C144" s="105" t="s">
        <v>362</v>
      </c>
      <c r="D144" s="7" t="s">
        <v>1215</v>
      </c>
      <c r="E144" s="7"/>
      <c r="F144" s="7"/>
      <c r="G144" s="7"/>
      <c r="H144" s="7"/>
      <c r="I144" s="19"/>
      <c r="J144" s="7"/>
      <c r="K144" s="7"/>
      <c r="L144" s="19"/>
      <c r="M144" s="43"/>
      <c r="N144" s="116"/>
      <c r="O144" s="6"/>
      <c r="P144" s="112" t="str">
        <f>IF(Tabela3[[#This Row],[RETIRADA APÓS CALIBRAÇÃO (STANDBY)]]="","",Tabela3[[#This Row],[RETIRADA APÓS CALIBRAÇÃO (STANDBY)]]+365)</f>
        <v/>
      </c>
    </row>
    <row r="145" spans="1:16" s="2" customFormat="1" ht="54.95" customHeight="1" x14ac:dyDescent="0.5">
      <c r="A145" s="39"/>
      <c r="B145" s="8" t="s">
        <v>475</v>
      </c>
      <c r="C145" s="4" t="s">
        <v>476</v>
      </c>
      <c r="D145" s="4" t="s">
        <v>477</v>
      </c>
      <c r="E145" s="9" t="s">
        <v>478</v>
      </c>
      <c r="F145" s="9" t="s">
        <v>479</v>
      </c>
      <c r="G145" s="9" t="s">
        <v>480</v>
      </c>
      <c r="H145" s="9" t="s">
        <v>44</v>
      </c>
      <c r="I145" s="40"/>
      <c r="J145" s="10" t="s">
        <v>481</v>
      </c>
      <c r="K145" s="10"/>
      <c r="L145" s="40" t="s">
        <v>482</v>
      </c>
      <c r="M145" s="43" t="s">
        <v>1</v>
      </c>
      <c r="N145" s="6">
        <v>46149</v>
      </c>
      <c r="O145" s="41" t="s">
        <v>313</v>
      </c>
      <c r="P145" s="112" t="e">
        <f>IF(Tabela3[[#This Row],[RETIRADA APÓS CALIBRAÇÃO (STANDBY)]]="","",Tabela3[[#This Row],[RETIRADA APÓS CALIBRAÇÃO (STANDBY)]]+365)</f>
        <v>#VALUE!</v>
      </c>
    </row>
    <row r="146" spans="1:16" s="2" customFormat="1" ht="54.95" customHeight="1" x14ac:dyDescent="0.5">
      <c r="A146" s="39"/>
      <c r="B146" s="11" t="s">
        <v>483</v>
      </c>
      <c r="C146" s="4" t="s">
        <v>484</v>
      </c>
      <c r="D146" s="4" t="s">
        <v>485</v>
      </c>
      <c r="E146" s="9" t="s">
        <v>478</v>
      </c>
      <c r="F146" s="9" t="s">
        <v>486</v>
      </c>
      <c r="G146" s="9" t="s">
        <v>480</v>
      </c>
      <c r="H146" s="9" t="s">
        <v>44</v>
      </c>
      <c r="I146" s="40" t="s">
        <v>1279</v>
      </c>
      <c r="J146" s="10" t="s">
        <v>481</v>
      </c>
      <c r="K146" s="10"/>
      <c r="L146" s="40" t="s">
        <v>487</v>
      </c>
      <c r="M146" s="43" t="s">
        <v>2</v>
      </c>
      <c r="N146" s="6">
        <v>45785</v>
      </c>
      <c r="O146" s="6">
        <v>45785</v>
      </c>
      <c r="P146" s="112">
        <f>IF(Tabela3[[#This Row],[RETIRADA APÓS CALIBRAÇÃO (STANDBY)]]="","",Tabela3[[#This Row],[RETIRADA APÓS CALIBRAÇÃO (STANDBY)]]+365)</f>
        <v>46150</v>
      </c>
    </row>
    <row r="147" spans="1:16" s="2" customFormat="1" ht="54.95" customHeight="1" x14ac:dyDescent="0.5">
      <c r="A147" s="39"/>
      <c r="B147" s="13" t="s">
        <v>488</v>
      </c>
      <c r="C147" s="4" t="s">
        <v>489</v>
      </c>
      <c r="D147" s="4" t="s">
        <v>490</v>
      </c>
      <c r="E147" s="4" t="s">
        <v>491</v>
      </c>
      <c r="F147" s="4">
        <v>802799</v>
      </c>
      <c r="G147" s="4" t="s">
        <v>492</v>
      </c>
      <c r="H147" s="9" t="s">
        <v>44</v>
      </c>
      <c r="I147" s="41"/>
      <c r="J147" s="5" t="s">
        <v>493</v>
      </c>
      <c r="K147" s="5"/>
      <c r="L147" s="41" t="s">
        <v>1265</v>
      </c>
      <c r="M147" s="41" t="s">
        <v>1</v>
      </c>
      <c r="N147" s="115">
        <v>46178</v>
      </c>
      <c r="O147" s="6">
        <v>46223</v>
      </c>
      <c r="P147" s="112">
        <f>IF(Tabela3[[#This Row],[RETIRADA APÓS CALIBRAÇÃO (STANDBY)]]="","",Tabela3[[#This Row],[RETIRADA APÓS CALIBRAÇÃO (STANDBY)]]+180)</f>
        <v>46403</v>
      </c>
    </row>
    <row r="148" spans="1:16" s="2" customFormat="1" ht="54.95" customHeight="1" x14ac:dyDescent="0.5">
      <c r="A148" s="39"/>
      <c r="B148" s="70" t="s">
        <v>494</v>
      </c>
      <c r="C148" s="4" t="s">
        <v>495</v>
      </c>
      <c r="D148" s="4" t="s">
        <v>496</v>
      </c>
      <c r="E148" s="4" t="s">
        <v>497</v>
      </c>
      <c r="F148" s="4" t="s">
        <v>498</v>
      </c>
      <c r="G148" s="4"/>
      <c r="H148" s="9" t="s">
        <v>44</v>
      </c>
      <c r="I148" s="41"/>
      <c r="J148" s="5" t="s">
        <v>337</v>
      </c>
      <c r="K148" s="5"/>
      <c r="L148" s="41"/>
      <c r="M148" s="41" t="s">
        <v>5</v>
      </c>
      <c r="N148" s="115"/>
      <c r="O148" s="7"/>
      <c r="P148" s="112" t="str">
        <f>IF(Tabela3[[#This Row],[RETIRADA APÓS CALIBRAÇÃO (STANDBY)]]="","",Tabela3[[#This Row],[RETIRADA APÓS CALIBRAÇÃO (STANDBY)]]+365)</f>
        <v/>
      </c>
    </row>
    <row r="149" spans="1:16" s="2" customFormat="1" ht="54.95" customHeight="1" x14ac:dyDescent="0.5">
      <c r="A149" s="39"/>
      <c r="B149" s="70" t="s">
        <v>499</v>
      </c>
      <c r="C149" s="4" t="s">
        <v>495</v>
      </c>
      <c r="D149" s="4" t="s">
        <v>496</v>
      </c>
      <c r="E149" s="4" t="s">
        <v>497</v>
      </c>
      <c r="F149" s="4" t="s">
        <v>498</v>
      </c>
      <c r="G149" s="4"/>
      <c r="H149" s="9" t="s">
        <v>44</v>
      </c>
      <c r="I149" s="41"/>
      <c r="J149" s="5" t="s">
        <v>337</v>
      </c>
      <c r="K149" s="5"/>
      <c r="L149" s="41" t="s">
        <v>500</v>
      </c>
      <c r="M149" s="41" t="s">
        <v>5</v>
      </c>
      <c r="N149" s="115"/>
      <c r="O149" s="7"/>
      <c r="P149" s="112" t="str">
        <f>IF(Tabela3[[#This Row],[RETIRADA APÓS CALIBRAÇÃO (STANDBY)]]="","",Tabela3[[#This Row],[RETIRADA APÓS CALIBRAÇÃO (STANDBY)]]+365)</f>
        <v/>
      </c>
    </row>
    <row r="150" spans="1:16" s="2" customFormat="1" ht="54.95" customHeight="1" x14ac:dyDescent="0.5">
      <c r="A150" s="39"/>
      <c r="B150" s="70" t="s">
        <v>501</v>
      </c>
      <c r="C150" s="4" t="s">
        <v>495</v>
      </c>
      <c r="D150" s="4" t="s">
        <v>496</v>
      </c>
      <c r="E150" s="4" t="s">
        <v>497</v>
      </c>
      <c r="F150" s="4"/>
      <c r="G150" s="4"/>
      <c r="H150" s="9" t="s">
        <v>44</v>
      </c>
      <c r="I150" s="41"/>
      <c r="J150" s="5" t="s">
        <v>337</v>
      </c>
      <c r="K150" s="5"/>
      <c r="L150" s="41"/>
      <c r="M150" s="41" t="s">
        <v>5</v>
      </c>
      <c r="N150" s="115"/>
      <c r="O150" s="7"/>
      <c r="P150" s="112" t="str">
        <f>IF(Tabela3[[#This Row],[RETIRADA APÓS CALIBRAÇÃO (STANDBY)]]="","",Tabela3[[#This Row],[RETIRADA APÓS CALIBRAÇÃO (STANDBY)]]+365)</f>
        <v/>
      </c>
    </row>
    <row r="151" spans="1:16" s="2" customFormat="1" ht="54.75" customHeight="1" x14ac:dyDescent="0.5">
      <c r="A151" s="39"/>
      <c r="B151" s="70" t="s">
        <v>502</v>
      </c>
      <c r="C151" s="4" t="s">
        <v>495</v>
      </c>
      <c r="D151" s="4" t="s">
        <v>496</v>
      </c>
      <c r="E151" s="4" t="s">
        <v>497</v>
      </c>
      <c r="F151" s="4"/>
      <c r="G151" s="4"/>
      <c r="H151" s="9" t="s">
        <v>44</v>
      </c>
      <c r="I151" s="41"/>
      <c r="J151" s="5" t="s">
        <v>503</v>
      </c>
      <c r="K151" s="5"/>
      <c r="L151" s="41"/>
      <c r="M151" s="41" t="s">
        <v>5</v>
      </c>
      <c r="N151" s="115"/>
      <c r="O151" s="7"/>
      <c r="P151" s="112" t="str">
        <f>IF(Tabela3[[#This Row],[RETIRADA APÓS CALIBRAÇÃO (STANDBY)]]="","",Tabela3[[#This Row],[RETIRADA APÓS CALIBRAÇÃO (STANDBY)]]+365)</f>
        <v/>
      </c>
    </row>
    <row r="152" spans="1:16" s="2" customFormat="1" ht="54.95" customHeight="1" x14ac:dyDescent="0.5">
      <c r="A152" s="39"/>
      <c r="B152" s="8" t="s">
        <v>504</v>
      </c>
      <c r="C152" s="4" t="s">
        <v>495</v>
      </c>
      <c r="D152" s="4" t="s">
        <v>496</v>
      </c>
      <c r="E152" s="4" t="s">
        <v>497</v>
      </c>
      <c r="F152" s="4" t="s">
        <v>498</v>
      </c>
      <c r="G152" s="4"/>
      <c r="H152" s="9" t="s">
        <v>44</v>
      </c>
      <c r="I152" s="41"/>
      <c r="J152" s="5" t="s">
        <v>505</v>
      </c>
      <c r="K152" s="5"/>
      <c r="L152" s="41" t="s">
        <v>1044</v>
      </c>
      <c r="M152" s="41" t="s">
        <v>1</v>
      </c>
      <c r="N152" s="6">
        <v>46169</v>
      </c>
      <c r="O152" s="6">
        <v>46169</v>
      </c>
      <c r="P152" s="112">
        <f>IF(Tabela3[[#This Row],[RETIRADA APÓS CALIBRAÇÃO (STANDBY)]]="","",Tabela3[[#This Row],[RETIRADA APÓS CALIBRAÇÃO (STANDBY)]]+365)</f>
        <v>46534</v>
      </c>
    </row>
    <row r="153" spans="1:16" s="2" customFormat="1" ht="54.95" customHeight="1" x14ac:dyDescent="0.5">
      <c r="A153" s="39"/>
      <c r="B153" s="11" t="s">
        <v>506</v>
      </c>
      <c r="C153" s="4" t="s">
        <v>495</v>
      </c>
      <c r="D153" s="4" t="s">
        <v>496</v>
      </c>
      <c r="E153" s="4" t="s">
        <v>497</v>
      </c>
      <c r="F153" s="4"/>
      <c r="G153" s="4"/>
      <c r="H153" s="9" t="s">
        <v>44</v>
      </c>
      <c r="I153" s="41"/>
      <c r="J153" s="5" t="s">
        <v>505</v>
      </c>
      <c r="K153" s="5"/>
      <c r="L153" s="41" t="s">
        <v>849</v>
      </c>
      <c r="M153" s="41" t="s">
        <v>2</v>
      </c>
      <c r="N153" s="6">
        <v>46146</v>
      </c>
      <c r="O153" s="41" t="s">
        <v>313</v>
      </c>
      <c r="P153" s="112" t="e">
        <f>IF(Tabela3[[#This Row],[RETIRADA APÓS CALIBRAÇÃO (STANDBY)]]="","",Tabela3[[#This Row],[RETIRADA APÓS CALIBRAÇÃO (STANDBY)]]+365)</f>
        <v>#VALUE!</v>
      </c>
    </row>
    <row r="154" spans="1:16" s="2" customFormat="1" ht="31.5" customHeight="1" x14ac:dyDescent="0.5">
      <c r="A154" s="39"/>
      <c r="B154" s="8" t="s">
        <v>507</v>
      </c>
      <c r="C154" s="4" t="s">
        <v>495</v>
      </c>
      <c r="D154" s="4" t="s">
        <v>496</v>
      </c>
      <c r="E154" s="4" t="s">
        <v>508</v>
      </c>
      <c r="F154" s="4" t="s">
        <v>509</v>
      </c>
      <c r="G154" s="4"/>
      <c r="H154" s="9" t="s">
        <v>44</v>
      </c>
      <c r="I154" s="41"/>
      <c r="J154" s="5" t="s">
        <v>505</v>
      </c>
      <c r="K154" s="5"/>
      <c r="L154" s="41" t="s">
        <v>1046</v>
      </c>
      <c r="M154" s="41" t="s">
        <v>1</v>
      </c>
      <c r="N154" s="115">
        <v>46169</v>
      </c>
      <c r="O154" s="6">
        <v>46169</v>
      </c>
      <c r="P154" s="112">
        <f>IF(Tabela3[[#This Row],[RETIRADA APÓS CALIBRAÇÃO (STANDBY)]]="","",Tabela3[[#This Row],[RETIRADA APÓS CALIBRAÇÃO (STANDBY)]]+365)</f>
        <v>46534</v>
      </c>
    </row>
    <row r="155" spans="1:16" s="2" customFormat="1" ht="155.25" customHeight="1" x14ac:dyDescent="0.5">
      <c r="A155" s="39"/>
      <c r="B155" s="148" t="s">
        <v>510</v>
      </c>
      <c r="C155" s="4" t="s">
        <v>511</v>
      </c>
      <c r="D155" s="19" t="s">
        <v>512</v>
      </c>
      <c r="E155" s="4" t="s">
        <v>513</v>
      </c>
      <c r="F155" s="4" t="s">
        <v>514</v>
      </c>
      <c r="G155" s="4"/>
      <c r="H155" s="9" t="s">
        <v>44</v>
      </c>
      <c r="I155" s="40" t="s">
        <v>1292</v>
      </c>
      <c r="J155" s="5" t="s">
        <v>515</v>
      </c>
      <c r="K155" s="5"/>
      <c r="L155" s="41" t="s">
        <v>1047</v>
      </c>
      <c r="M155" s="41" t="s">
        <v>3</v>
      </c>
      <c r="N155" s="6">
        <v>45376</v>
      </c>
      <c r="O155" s="6">
        <v>45376</v>
      </c>
      <c r="P155" s="112">
        <f>IF(Tabela3[[#This Row],[RETIRADA APÓS CALIBRAÇÃO (STANDBY)]]="","",Tabela3[[#This Row],[RETIRADA APÓS CALIBRAÇÃO (STANDBY)]]+365)</f>
        <v>45741</v>
      </c>
    </row>
    <row r="156" spans="1:16" s="2" customFormat="1" ht="54.95" customHeight="1" x14ac:dyDescent="0.5">
      <c r="A156" s="39"/>
      <c r="B156" s="13" t="s">
        <v>516</v>
      </c>
      <c r="C156" s="4" t="s">
        <v>511</v>
      </c>
      <c r="D156" s="19" t="s">
        <v>512</v>
      </c>
      <c r="E156" s="4" t="s">
        <v>513</v>
      </c>
      <c r="F156" s="4" t="s">
        <v>514</v>
      </c>
      <c r="G156" s="4"/>
      <c r="H156" s="9" t="s">
        <v>44</v>
      </c>
      <c r="I156" s="41"/>
      <c r="J156" s="5" t="s">
        <v>515</v>
      </c>
      <c r="K156" s="5"/>
      <c r="L156" s="41" t="s">
        <v>517</v>
      </c>
      <c r="M156" s="41" t="s">
        <v>1</v>
      </c>
      <c r="N156" s="6">
        <v>46063</v>
      </c>
      <c r="O156" s="6">
        <v>46063</v>
      </c>
      <c r="P156" s="112">
        <f>IF(Tabela3[[#This Row],[RETIRADA APÓS CALIBRAÇÃO (STANDBY)]]="","",Tabela3[[#This Row],[RETIRADA APÓS CALIBRAÇÃO (STANDBY)]]+365)</f>
        <v>46428</v>
      </c>
    </row>
    <row r="157" spans="1:16" s="2" customFormat="1" ht="54.95" customHeight="1" x14ac:dyDescent="0.5">
      <c r="A157" s="39"/>
      <c r="B157" s="58" t="s">
        <v>518</v>
      </c>
      <c r="C157" s="7" t="s">
        <v>519</v>
      </c>
      <c r="D157" s="7" t="s">
        <v>519</v>
      </c>
      <c r="E157" s="7" t="s">
        <v>520</v>
      </c>
      <c r="F157" s="7"/>
      <c r="G157" s="7"/>
      <c r="H157" s="7" t="s">
        <v>44</v>
      </c>
      <c r="I157" s="19"/>
      <c r="J157" s="7" t="s">
        <v>45</v>
      </c>
      <c r="K157" s="7"/>
      <c r="L157" s="19"/>
      <c r="M157" s="19" t="s">
        <v>4</v>
      </c>
      <c r="N157" s="114"/>
      <c r="O157" s="6"/>
      <c r="P157" s="112" t="str">
        <f>IF(Tabela3[[#This Row],[RETIRADA APÓS CALIBRAÇÃO (STANDBY)]]="","",Tabela3[[#This Row],[RETIRADA APÓS CALIBRAÇÃO (STANDBY)]]+365)</f>
        <v/>
      </c>
    </row>
    <row r="158" spans="1:16" s="2" customFormat="1" ht="54.95" customHeight="1" x14ac:dyDescent="0.5">
      <c r="A158" s="39"/>
      <c r="B158" s="70" t="s">
        <v>521</v>
      </c>
      <c r="C158" s="4" t="s">
        <v>522</v>
      </c>
      <c r="D158" s="4" t="s">
        <v>523</v>
      </c>
      <c r="E158" s="4" t="s">
        <v>524</v>
      </c>
      <c r="F158" s="4" t="s">
        <v>525</v>
      </c>
      <c r="G158" s="4"/>
      <c r="H158" s="9" t="s">
        <v>44</v>
      </c>
      <c r="I158" s="19"/>
      <c r="J158" s="41" t="s">
        <v>526</v>
      </c>
      <c r="K158" s="41"/>
      <c r="L158" s="41"/>
      <c r="M158" s="19" t="s">
        <v>5</v>
      </c>
      <c r="N158" s="114"/>
      <c r="O158" s="17"/>
      <c r="P158" s="112" t="str">
        <f>IF(Tabela3[[#This Row],[RETIRADA APÓS CALIBRAÇÃO (STANDBY)]]="","",Tabela3[[#This Row],[RETIRADA APÓS CALIBRAÇÃO (STANDBY)]]+365)</f>
        <v/>
      </c>
    </row>
    <row r="159" spans="1:16" s="2" customFormat="1" ht="54.95" customHeight="1" x14ac:dyDescent="0.5">
      <c r="A159" s="39" t="s">
        <v>527</v>
      </c>
      <c r="B159" s="13" t="s">
        <v>528</v>
      </c>
      <c r="C159" s="4" t="s">
        <v>522</v>
      </c>
      <c r="D159" s="4" t="s">
        <v>529</v>
      </c>
      <c r="E159" s="4" t="s">
        <v>530</v>
      </c>
      <c r="F159" s="4">
        <v>762964</v>
      </c>
      <c r="G159" s="4"/>
      <c r="H159" s="9" t="s">
        <v>44</v>
      </c>
      <c r="I159" s="41" t="s">
        <v>1278</v>
      </c>
      <c r="J159" s="104"/>
      <c r="K159" s="5"/>
      <c r="L159" s="41" t="s">
        <v>1284</v>
      </c>
      <c r="M159" s="19" t="s">
        <v>1</v>
      </c>
      <c r="N159" s="114">
        <v>46182</v>
      </c>
      <c r="O159" s="17" t="s">
        <v>313</v>
      </c>
      <c r="P159" s="112" t="e">
        <f>IF(Tabela3[[#This Row],[RETIRADA APÓS CALIBRAÇÃO (STANDBY)]]="","",Tabela3[[#This Row],[RETIRADA APÓS CALIBRAÇÃO (STANDBY)]]+365)</f>
        <v>#VALUE!</v>
      </c>
    </row>
    <row r="160" spans="1:16" s="2" customFormat="1" ht="54.95" customHeight="1" x14ac:dyDescent="0.5">
      <c r="A160" s="39"/>
      <c r="B160" s="12" t="s">
        <v>531</v>
      </c>
      <c r="C160" s="4" t="s">
        <v>522</v>
      </c>
      <c r="D160" s="7" t="s">
        <v>523</v>
      </c>
      <c r="E160" s="7" t="s">
        <v>532</v>
      </c>
      <c r="F160" s="7">
        <v>121042008</v>
      </c>
      <c r="G160" s="7"/>
      <c r="H160" s="7" t="s">
        <v>44</v>
      </c>
      <c r="I160" s="41"/>
      <c r="J160" s="19" t="s">
        <v>59</v>
      </c>
      <c r="K160" s="7"/>
      <c r="L160" s="19" t="s">
        <v>533</v>
      </c>
      <c r="M160" s="19" t="s">
        <v>1</v>
      </c>
      <c r="N160" s="6">
        <v>46059</v>
      </c>
      <c r="O160" s="6">
        <v>46059</v>
      </c>
      <c r="P160" s="112">
        <f>IF(Tabela3[[#This Row],[RETIRADA APÓS CALIBRAÇÃO (STANDBY)]]="","",Tabela3[[#This Row],[RETIRADA APÓS CALIBRAÇÃO (STANDBY)]]+365)</f>
        <v>46424</v>
      </c>
    </row>
    <row r="161" spans="1:16" s="2" customFormat="1" ht="54.95" customHeight="1" x14ac:dyDescent="0.5">
      <c r="A161" s="39"/>
      <c r="B161" s="14" t="s">
        <v>534</v>
      </c>
      <c r="C161" s="4" t="s">
        <v>522</v>
      </c>
      <c r="D161" s="7" t="s">
        <v>535</v>
      </c>
      <c r="E161" s="7" t="s">
        <v>532</v>
      </c>
      <c r="F161" s="7">
        <v>121041908</v>
      </c>
      <c r="G161" s="7"/>
      <c r="H161" s="7" t="s">
        <v>44</v>
      </c>
      <c r="I161" s="19"/>
      <c r="J161" s="7" t="s">
        <v>536</v>
      </c>
      <c r="K161" s="7"/>
      <c r="L161" s="19"/>
      <c r="M161" s="19" t="s">
        <v>2</v>
      </c>
      <c r="N161" s="114"/>
      <c r="O161" s="7"/>
      <c r="P161" s="112" t="str">
        <f>IF(Tabela3[[#This Row],[RETIRADA APÓS CALIBRAÇÃO (STANDBY)]]="","",Tabela3[[#This Row],[RETIRADA APÓS CALIBRAÇÃO (STANDBY)]]+365)</f>
        <v/>
      </c>
    </row>
    <row r="162" spans="1:16" s="2" customFormat="1" ht="54.95" customHeight="1" x14ac:dyDescent="0.5">
      <c r="A162" s="39"/>
      <c r="B162" s="13" t="s">
        <v>537</v>
      </c>
      <c r="C162" s="4" t="s">
        <v>538</v>
      </c>
      <c r="D162" s="64" t="s">
        <v>539</v>
      </c>
      <c r="E162" s="4" t="s">
        <v>50</v>
      </c>
      <c r="F162" s="4" t="s">
        <v>50</v>
      </c>
      <c r="G162" s="4" t="s">
        <v>540</v>
      </c>
      <c r="H162" s="9" t="s">
        <v>44</v>
      </c>
      <c r="I162" s="41"/>
      <c r="J162" s="5" t="s">
        <v>63</v>
      </c>
      <c r="K162" s="5"/>
      <c r="L162" s="41" t="s">
        <v>1261</v>
      </c>
      <c r="M162" s="41" t="s">
        <v>1</v>
      </c>
      <c r="N162" s="115">
        <v>46176</v>
      </c>
      <c r="O162" s="6">
        <v>46223</v>
      </c>
      <c r="P162" s="112">
        <f>IF(Tabela3[[#This Row],[RETIRADA APÓS CALIBRAÇÃO (STANDBY)]]="","",Tabela3[[#This Row],[RETIRADA APÓS CALIBRAÇÃO (STANDBY)]]+180)</f>
        <v>46403</v>
      </c>
    </row>
    <row r="163" spans="1:16" s="2" customFormat="1" ht="54.95" customHeight="1" x14ac:dyDescent="0.5">
      <c r="A163" s="39"/>
      <c r="B163" s="13" t="s">
        <v>541</v>
      </c>
      <c r="C163" s="4" t="s">
        <v>538</v>
      </c>
      <c r="D163" s="64" t="s">
        <v>542</v>
      </c>
      <c r="E163" s="4" t="s">
        <v>50</v>
      </c>
      <c r="F163" s="4" t="s">
        <v>50</v>
      </c>
      <c r="G163" s="4" t="s">
        <v>540</v>
      </c>
      <c r="H163" s="9" t="s">
        <v>44</v>
      </c>
      <c r="I163" s="41"/>
      <c r="J163" s="5" t="s">
        <v>63</v>
      </c>
      <c r="K163" s="5"/>
      <c r="L163" s="41" t="s">
        <v>1262</v>
      </c>
      <c r="M163" s="41" t="s">
        <v>1</v>
      </c>
      <c r="N163" s="115">
        <v>46176</v>
      </c>
      <c r="O163" s="6">
        <v>46223</v>
      </c>
      <c r="P163" s="112">
        <f>IF(Tabela3[[#This Row],[RETIRADA APÓS CALIBRAÇÃO (STANDBY)]]="","",Tabela3[[#This Row],[RETIRADA APÓS CALIBRAÇÃO (STANDBY)]]+180)</f>
        <v>46403</v>
      </c>
    </row>
    <row r="164" spans="1:16" s="2" customFormat="1" ht="54.95" customHeight="1" x14ac:dyDescent="0.5">
      <c r="A164" s="39"/>
      <c r="B164" s="12" t="s">
        <v>543</v>
      </c>
      <c r="C164" s="4" t="s">
        <v>538</v>
      </c>
      <c r="D164" s="66" t="s">
        <v>544</v>
      </c>
      <c r="E164" s="7" t="s">
        <v>358</v>
      </c>
      <c r="F164" s="7" t="s">
        <v>545</v>
      </c>
      <c r="G164" s="4" t="s">
        <v>540</v>
      </c>
      <c r="H164" s="7" t="s">
        <v>44</v>
      </c>
      <c r="I164" s="41"/>
      <c r="J164" s="5" t="s">
        <v>63</v>
      </c>
      <c r="K164" s="5"/>
      <c r="L164" s="19" t="s">
        <v>1270</v>
      </c>
      <c r="M164" s="41" t="s">
        <v>1</v>
      </c>
      <c r="N164" s="115">
        <v>46176</v>
      </c>
      <c r="O164" s="6">
        <v>46220</v>
      </c>
      <c r="P164" s="112">
        <f>IF(Tabela3[[#This Row],[RETIRADA APÓS CALIBRAÇÃO (STANDBY)]]="","",Tabela3[[#This Row],[RETIRADA APÓS CALIBRAÇÃO (STANDBY)]]+180)</f>
        <v>46400</v>
      </c>
    </row>
    <row r="165" spans="1:16" s="2" customFormat="1" ht="54.95" customHeight="1" x14ac:dyDescent="0.5">
      <c r="A165" s="39"/>
      <c r="B165" s="13" t="s">
        <v>546</v>
      </c>
      <c r="C165" s="4" t="s">
        <v>538</v>
      </c>
      <c r="D165" s="64" t="s">
        <v>547</v>
      </c>
      <c r="E165" s="64" t="s">
        <v>50</v>
      </c>
      <c r="F165" s="4" t="s">
        <v>50</v>
      </c>
      <c r="G165" s="4" t="s">
        <v>540</v>
      </c>
      <c r="H165" s="9" t="s">
        <v>44</v>
      </c>
      <c r="I165" s="41"/>
      <c r="J165" s="5" t="s">
        <v>63</v>
      </c>
      <c r="K165" s="5"/>
      <c r="L165" s="41" t="s">
        <v>1271</v>
      </c>
      <c r="M165" s="41" t="s">
        <v>1</v>
      </c>
      <c r="N165" s="115">
        <v>46176</v>
      </c>
      <c r="O165" s="6">
        <v>46220</v>
      </c>
      <c r="P165" s="112">
        <f>IF(Tabela3[[#This Row],[RETIRADA APÓS CALIBRAÇÃO (STANDBY)]]="","",Tabela3[[#This Row],[RETIRADA APÓS CALIBRAÇÃO (STANDBY)]]+180)</f>
        <v>46400</v>
      </c>
    </row>
    <row r="166" spans="1:16" s="2" customFormat="1" ht="54.95" customHeight="1" x14ac:dyDescent="0.5">
      <c r="A166" s="39"/>
      <c r="B166" s="13" t="s">
        <v>548</v>
      </c>
      <c r="C166" s="4" t="s">
        <v>538</v>
      </c>
      <c r="D166" s="64" t="s">
        <v>549</v>
      </c>
      <c r="E166" s="4" t="s">
        <v>50</v>
      </c>
      <c r="F166" s="4" t="s">
        <v>50</v>
      </c>
      <c r="G166" s="4" t="s">
        <v>540</v>
      </c>
      <c r="H166" s="9" t="s">
        <v>44</v>
      </c>
      <c r="I166" s="41"/>
      <c r="J166" s="5" t="s">
        <v>63</v>
      </c>
      <c r="K166" s="5"/>
      <c r="L166" s="41" t="s">
        <v>1272</v>
      </c>
      <c r="M166" s="41" t="s">
        <v>1</v>
      </c>
      <c r="N166" s="115">
        <v>46176</v>
      </c>
      <c r="O166" s="6">
        <v>46220</v>
      </c>
      <c r="P166" s="112">
        <f>IF(Tabela3[[#This Row],[RETIRADA APÓS CALIBRAÇÃO (STANDBY)]]="","",Tabela3[[#This Row],[RETIRADA APÓS CALIBRAÇÃO (STANDBY)]]+180)</f>
        <v>46400</v>
      </c>
    </row>
    <row r="167" spans="1:16" s="2" customFormat="1" ht="54.95" customHeight="1" x14ac:dyDescent="0.5">
      <c r="A167" s="39"/>
      <c r="B167" s="13" t="s">
        <v>550</v>
      </c>
      <c r="C167" s="4" t="s">
        <v>538</v>
      </c>
      <c r="D167" s="64" t="s">
        <v>551</v>
      </c>
      <c r="E167" s="4" t="s">
        <v>50</v>
      </c>
      <c r="F167" s="4" t="s">
        <v>50</v>
      </c>
      <c r="G167" s="4" t="s">
        <v>540</v>
      </c>
      <c r="H167" s="9" t="s">
        <v>44</v>
      </c>
      <c r="I167" s="41"/>
      <c r="J167" s="5" t="s">
        <v>63</v>
      </c>
      <c r="K167" s="5"/>
      <c r="L167" s="44" t="s">
        <v>1313</v>
      </c>
      <c r="M167" s="41" t="s">
        <v>1</v>
      </c>
      <c r="N167" s="6">
        <v>46237</v>
      </c>
      <c r="O167" s="6">
        <v>46245</v>
      </c>
      <c r="P167" s="112">
        <f>IF(Tabela3[[#This Row],[RETIRADA APÓS CALIBRAÇÃO (STANDBY)]]="","",Tabela3[[#This Row],[RETIRADA APÓS CALIBRAÇÃO (STANDBY)]]+180)</f>
        <v>46425</v>
      </c>
    </row>
    <row r="168" spans="1:16" s="2" customFormat="1" ht="54.95" customHeight="1" x14ac:dyDescent="0.5">
      <c r="A168" s="39"/>
      <c r="B168" s="35" t="s">
        <v>552</v>
      </c>
      <c r="C168" s="4" t="s">
        <v>538</v>
      </c>
      <c r="D168" s="64" t="s">
        <v>553</v>
      </c>
      <c r="E168" s="4" t="s">
        <v>50</v>
      </c>
      <c r="F168" s="4" t="s">
        <v>50</v>
      </c>
      <c r="G168" s="4" t="s">
        <v>540</v>
      </c>
      <c r="H168" s="9" t="s">
        <v>44</v>
      </c>
      <c r="I168" s="41"/>
      <c r="J168" s="5" t="s">
        <v>554</v>
      </c>
      <c r="K168" s="5"/>
      <c r="L168" s="44" t="s">
        <v>555</v>
      </c>
      <c r="M168" s="44" t="s">
        <v>6</v>
      </c>
      <c r="N168" s="118"/>
      <c r="O168" s="6"/>
      <c r="P168" s="112"/>
    </row>
    <row r="169" spans="1:16" s="2" customFormat="1" ht="114.75" customHeight="1" x14ac:dyDescent="0.5">
      <c r="A169" s="39"/>
      <c r="B169" s="13" t="s">
        <v>556</v>
      </c>
      <c r="C169" s="4" t="s">
        <v>538</v>
      </c>
      <c r="D169" s="64" t="s">
        <v>557</v>
      </c>
      <c r="E169" s="4" t="s">
        <v>558</v>
      </c>
      <c r="F169" s="4" t="s">
        <v>559</v>
      </c>
      <c r="G169" s="4" t="s">
        <v>540</v>
      </c>
      <c r="H169" s="9" t="s">
        <v>44</v>
      </c>
      <c r="I169" s="41"/>
      <c r="J169" s="5" t="s">
        <v>493</v>
      </c>
      <c r="K169" s="5"/>
      <c r="L169" s="44" t="s">
        <v>1310</v>
      </c>
      <c r="M169" s="44" t="s">
        <v>1</v>
      </c>
      <c r="N169" s="6">
        <v>46237</v>
      </c>
      <c r="O169" s="6">
        <v>46245</v>
      </c>
      <c r="P169" s="112">
        <f>IF(Tabela3[[#This Row],[RETIRADA APÓS CALIBRAÇÃO (STANDBY)]]="","",Tabela3[[#This Row],[RETIRADA APÓS CALIBRAÇÃO (STANDBY)]]+180)</f>
        <v>46425</v>
      </c>
    </row>
    <row r="170" spans="1:16" s="2" customFormat="1" ht="54.95" customHeight="1" x14ac:dyDescent="0.5">
      <c r="A170" s="39"/>
      <c r="B170" s="13" t="s">
        <v>560</v>
      </c>
      <c r="C170" s="4" t="s">
        <v>538</v>
      </c>
      <c r="D170" s="64" t="s">
        <v>561</v>
      </c>
      <c r="E170" s="4" t="s">
        <v>50</v>
      </c>
      <c r="F170" s="4" t="s">
        <v>50</v>
      </c>
      <c r="G170" s="4" t="s">
        <v>540</v>
      </c>
      <c r="H170" s="9" t="s">
        <v>44</v>
      </c>
      <c r="I170" s="41"/>
      <c r="J170" s="5" t="s">
        <v>493</v>
      </c>
      <c r="K170" s="5"/>
      <c r="L170" s="41" t="s">
        <v>1307</v>
      </c>
      <c r="M170" s="44" t="s">
        <v>1</v>
      </c>
      <c r="N170" s="6">
        <v>46237</v>
      </c>
      <c r="O170" s="6">
        <v>46245</v>
      </c>
      <c r="P170" s="112">
        <f>IF(Tabela3[[#This Row],[RETIRADA APÓS CALIBRAÇÃO (STANDBY)]]="","",Tabela3[[#This Row],[RETIRADA APÓS CALIBRAÇÃO (STANDBY)]]+180)</f>
        <v>46425</v>
      </c>
    </row>
    <row r="171" spans="1:16" s="2" customFormat="1" ht="54.95" customHeight="1" x14ac:dyDescent="0.5">
      <c r="A171" s="39"/>
      <c r="B171" s="13" t="s">
        <v>562</v>
      </c>
      <c r="C171" s="4" t="s">
        <v>538</v>
      </c>
      <c r="D171" s="64" t="s">
        <v>563</v>
      </c>
      <c r="E171" s="4" t="s">
        <v>50</v>
      </c>
      <c r="F171" s="4" t="s">
        <v>50</v>
      </c>
      <c r="G171" s="4" t="s">
        <v>540</v>
      </c>
      <c r="H171" s="9" t="s">
        <v>44</v>
      </c>
      <c r="I171" s="41"/>
      <c r="J171" s="5" t="s">
        <v>564</v>
      </c>
      <c r="K171" s="5"/>
      <c r="L171" s="41" t="s">
        <v>1314</v>
      </c>
      <c r="M171" s="44" t="s">
        <v>1</v>
      </c>
      <c r="N171" s="6">
        <v>46237</v>
      </c>
      <c r="O171" s="6">
        <v>46245</v>
      </c>
      <c r="P171" s="112">
        <f>IF(Tabela3[[#This Row],[RETIRADA APÓS CALIBRAÇÃO (STANDBY)]]="","",Tabela3[[#This Row],[RETIRADA APÓS CALIBRAÇÃO (STANDBY)]]+180)</f>
        <v>46425</v>
      </c>
    </row>
    <row r="172" spans="1:16" s="2" customFormat="1" ht="54.75" customHeight="1" x14ac:dyDescent="0.5">
      <c r="A172" s="39"/>
      <c r="B172" s="13" t="s">
        <v>565</v>
      </c>
      <c r="C172" s="4" t="s">
        <v>538</v>
      </c>
      <c r="D172" s="64" t="s">
        <v>566</v>
      </c>
      <c r="E172" s="4" t="s">
        <v>567</v>
      </c>
      <c r="F172" s="4" t="s">
        <v>50</v>
      </c>
      <c r="G172" s="4" t="s">
        <v>540</v>
      </c>
      <c r="H172" s="9" t="s">
        <v>44</v>
      </c>
      <c r="I172" s="41"/>
      <c r="J172" s="5" t="s">
        <v>564</v>
      </c>
      <c r="K172" s="5"/>
      <c r="L172" s="41" t="s">
        <v>1312</v>
      </c>
      <c r="M172" s="44" t="s">
        <v>1</v>
      </c>
      <c r="N172" s="6">
        <v>46237</v>
      </c>
      <c r="O172" s="6">
        <v>46245</v>
      </c>
      <c r="P172" s="112">
        <f>IF(Tabela3[[#This Row],[RETIRADA APÓS CALIBRAÇÃO (STANDBY)]]="","",Tabela3[[#This Row],[RETIRADA APÓS CALIBRAÇÃO (STANDBY)]]+180)</f>
        <v>46425</v>
      </c>
    </row>
    <row r="173" spans="1:16" s="2" customFormat="1" ht="54.95" customHeight="1" x14ac:dyDescent="0.5">
      <c r="A173" s="39"/>
      <c r="B173" s="13" t="s">
        <v>568</v>
      </c>
      <c r="C173" s="4" t="s">
        <v>538</v>
      </c>
      <c r="D173" s="64" t="s">
        <v>569</v>
      </c>
      <c r="E173" s="4" t="s">
        <v>100</v>
      </c>
      <c r="F173" s="4">
        <v>250375973</v>
      </c>
      <c r="G173" s="4" t="s">
        <v>570</v>
      </c>
      <c r="H173" s="9" t="s">
        <v>44</v>
      </c>
      <c r="I173" s="41"/>
      <c r="J173" s="5" t="s">
        <v>564</v>
      </c>
      <c r="K173" s="5"/>
      <c r="L173" s="41" t="s">
        <v>1311</v>
      </c>
      <c r="M173" s="44" t="s">
        <v>1</v>
      </c>
      <c r="N173" s="6">
        <v>46237</v>
      </c>
      <c r="O173" s="6">
        <v>46245</v>
      </c>
      <c r="P173" s="112">
        <f>IF(Tabela3[[#This Row],[RETIRADA APÓS CALIBRAÇÃO (STANDBY)]]="","",Tabela3[[#This Row],[RETIRADA APÓS CALIBRAÇÃO (STANDBY)]]+180)</f>
        <v>46425</v>
      </c>
    </row>
    <row r="174" spans="1:16" s="2" customFormat="1" ht="54.95" customHeight="1" x14ac:dyDescent="0.5">
      <c r="A174" s="39"/>
      <c r="B174" s="13" t="s">
        <v>571</v>
      </c>
      <c r="C174" s="4" t="s">
        <v>538</v>
      </c>
      <c r="D174" s="64" t="s">
        <v>572</v>
      </c>
      <c r="E174" s="4" t="s">
        <v>100</v>
      </c>
      <c r="F174" s="4"/>
      <c r="G174" s="4" t="s">
        <v>492</v>
      </c>
      <c r="H174" s="9"/>
      <c r="I174" s="41"/>
      <c r="J174" s="5"/>
      <c r="K174" s="5"/>
      <c r="L174" s="41" t="s">
        <v>1261</v>
      </c>
      <c r="M174" s="44" t="s">
        <v>1</v>
      </c>
      <c r="N174" s="118">
        <v>46176</v>
      </c>
      <c r="O174" s="6">
        <v>46237</v>
      </c>
      <c r="P174" s="112">
        <f>IF(Tabela3[[#This Row],[RETIRADA APÓS CALIBRAÇÃO (STANDBY)]]="","",Tabela3[[#This Row],[RETIRADA APÓS CALIBRAÇÃO (STANDBY)]]+180)</f>
        <v>46417</v>
      </c>
    </row>
    <row r="175" spans="1:16" s="2" customFormat="1" ht="54.95" customHeight="1" x14ac:dyDescent="0.5">
      <c r="A175" s="39"/>
      <c r="B175" s="13" t="s">
        <v>573</v>
      </c>
      <c r="C175" s="4" t="s">
        <v>538</v>
      </c>
      <c r="D175" s="4" t="s">
        <v>574</v>
      </c>
      <c r="E175" s="4" t="s">
        <v>491</v>
      </c>
      <c r="F175" s="4" t="s">
        <v>575</v>
      </c>
      <c r="G175" s="4" t="s">
        <v>540</v>
      </c>
      <c r="H175" s="9" t="s">
        <v>44</v>
      </c>
      <c r="I175" s="60"/>
      <c r="J175" s="54" t="s">
        <v>129</v>
      </c>
      <c r="K175" s="54"/>
      <c r="L175" s="41" t="s">
        <v>87</v>
      </c>
      <c r="M175" s="41" t="s">
        <v>1</v>
      </c>
      <c r="N175" s="115">
        <v>46055</v>
      </c>
      <c r="O175" s="6">
        <v>46055</v>
      </c>
      <c r="P175" s="112">
        <f>IF(Tabela3[[#This Row],[RETIRADA APÓS CALIBRAÇÃO (STANDBY)]]="","",Tabela3[[#This Row],[RETIRADA APÓS CALIBRAÇÃO (STANDBY)]]+180)</f>
        <v>46235</v>
      </c>
    </row>
    <row r="176" spans="1:16" s="2" customFormat="1" ht="54.75" customHeight="1" x14ac:dyDescent="0.5">
      <c r="A176" s="39"/>
      <c r="B176" s="8" t="s">
        <v>576</v>
      </c>
      <c r="C176" s="9" t="s">
        <v>577</v>
      </c>
      <c r="D176" s="9" t="s">
        <v>578</v>
      </c>
      <c r="E176" s="9" t="s">
        <v>358</v>
      </c>
      <c r="F176" s="9">
        <v>151295647</v>
      </c>
      <c r="G176" s="9"/>
      <c r="H176" s="9" t="s">
        <v>44</v>
      </c>
      <c r="I176" s="40"/>
      <c r="J176" s="10" t="s">
        <v>564</v>
      </c>
      <c r="K176" s="10"/>
      <c r="L176" s="40" t="s">
        <v>1261</v>
      </c>
      <c r="M176" s="40" t="s">
        <v>1</v>
      </c>
      <c r="N176" s="33">
        <v>46176</v>
      </c>
      <c r="O176" s="33" t="s">
        <v>1282</v>
      </c>
      <c r="P176" s="112" t="e">
        <f>IF(Tabela3[[#This Row],[RETIRADA APÓS CALIBRAÇÃO (STANDBY)]]="","",Tabela3[[#This Row],[RETIRADA APÓS CALIBRAÇÃO (STANDBY)]]+180)</f>
        <v>#VALUE!</v>
      </c>
    </row>
    <row r="177" spans="1:16" s="2" customFormat="1" ht="54.95" customHeight="1" x14ac:dyDescent="0.5">
      <c r="A177" s="39"/>
      <c r="B177" s="11" t="s">
        <v>579</v>
      </c>
      <c r="C177" s="9" t="s">
        <v>577</v>
      </c>
      <c r="D177" s="4" t="s">
        <v>580</v>
      </c>
      <c r="E177" s="9"/>
      <c r="F177" s="9"/>
      <c r="G177" s="9"/>
      <c r="H177" s="9" t="s">
        <v>44</v>
      </c>
      <c r="I177" s="40"/>
      <c r="J177" s="10" t="s">
        <v>564</v>
      </c>
      <c r="K177" s="10"/>
      <c r="L177" s="40"/>
      <c r="M177" s="40" t="s">
        <v>2</v>
      </c>
      <c r="N177" s="116"/>
      <c r="O177" s="33"/>
      <c r="P177" s="112" t="str">
        <f>IF(Tabela3[[#This Row],[RETIRADA APÓS CALIBRAÇÃO (STANDBY)]]="","",Tabela3[[#This Row],[RETIRADA APÓS CALIBRAÇÃO (STANDBY)]]+365)</f>
        <v/>
      </c>
    </row>
    <row r="178" spans="1:16" s="2" customFormat="1" ht="54.95" customHeight="1" x14ac:dyDescent="0.5">
      <c r="A178" s="39"/>
      <c r="B178" s="14" t="s">
        <v>581</v>
      </c>
      <c r="C178" s="9" t="s">
        <v>582</v>
      </c>
      <c r="D178" s="19" t="s">
        <v>583</v>
      </c>
      <c r="E178" s="9" t="s">
        <v>584</v>
      </c>
      <c r="F178" s="9" t="s">
        <v>585</v>
      </c>
      <c r="G178" s="9"/>
      <c r="H178" s="9" t="s">
        <v>44</v>
      </c>
      <c r="I178" s="40" t="s">
        <v>1279</v>
      </c>
      <c r="J178" s="7" t="s">
        <v>59</v>
      </c>
      <c r="K178" s="7"/>
      <c r="L178" s="19"/>
      <c r="M178" s="40" t="s">
        <v>2</v>
      </c>
      <c r="N178" s="116"/>
      <c r="O178" s="6"/>
      <c r="P178" s="112" t="str">
        <f>IF(Tabela3[[#This Row],[RETIRADA APÓS CALIBRAÇÃO (STANDBY)]]="","",Tabela3[[#This Row],[RETIRADA APÓS CALIBRAÇÃO (STANDBY)]]+365)</f>
        <v/>
      </c>
    </row>
    <row r="179" spans="1:16" s="2" customFormat="1" ht="54.95" customHeight="1" x14ac:dyDescent="0.5">
      <c r="A179" s="39"/>
      <c r="B179" s="13" t="s">
        <v>586</v>
      </c>
      <c r="C179" s="4" t="s">
        <v>587</v>
      </c>
      <c r="D179" s="4" t="s">
        <v>588</v>
      </c>
      <c r="E179" s="4" t="s">
        <v>103</v>
      </c>
      <c r="F179" s="57" t="s">
        <v>589</v>
      </c>
      <c r="G179" s="4" t="s">
        <v>570</v>
      </c>
      <c r="H179" s="9" t="s">
        <v>44</v>
      </c>
      <c r="I179" s="60"/>
      <c r="J179" s="54" t="s">
        <v>590</v>
      </c>
      <c r="K179" s="54"/>
      <c r="L179" s="41" t="s">
        <v>1263</v>
      </c>
      <c r="M179" s="41" t="s">
        <v>1</v>
      </c>
      <c r="N179" s="6">
        <v>46181</v>
      </c>
      <c r="O179" s="6" t="s">
        <v>313</v>
      </c>
      <c r="P179" s="112" t="e">
        <f>IF(Tabela3[[#This Row],[RETIRADA APÓS CALIBRAÇÃO (STANDBY)]]="","",Tabela3[[#This Row],[RETIRADA APÓS CALIBRAÇÃO (STANDBY)]]+365)</f>
        <v>#VALUE!</v>
      </c>
    </row>
    <row r="180" spans="1:16" s="2" customFormat="1" ht="54.95" customHeight="1" x14ac:dyDescent="0.5">
      <c r="A180" s="39"/>
      <c r="B180" s="56" t="s">
        <v>591</v>
      </c>
      <c r="C180" s="9" t="s">
        <v>592</v>
      </c>
      <c r="D180" s="7" t="s">
        <v>593</v>
      </c>
      <c r="E180" s="9" t="s">
        <v>594</v>
      </c>
      <c r="F180" s="9" t="s">
        <v>595</v>
      </c>
      <c r="G180" s="9"/>
      <c r="H180" s="9" t="s">
        <v>44</v>
      </c>
      <c r="I180" s="19"/>
      <c r="J180" s="7" t="s">
        <v>596</v>
      </c>
      <c r="K180" s="7"/>
      <c r="L180" s="19"/>
      <c r="M180" s="19" t="s">
        <v>4</v>
      </c>
      <c r="N180" s="114"/>
      <c r="O180" s="6"/>
      <c r="P180" s="112" t="str">
        <f>IF(Tabela3[[#This Row],[RETIRADA APÓS CALIBRAÇÃO (STANDBY)]]="","",Tabela3[[#This Row],[RETIRADA APÓS CALIBRAÇÃO (STANDBY)]]+365)</f>
        <v/>
      </c>
    </row>
    <row r="181" spans="1:16" s="2" customFormat="1" ht="54.95" customHeight="1" x14ac:dyDescent="0.5">
      <c r="A181" s="39"/>
      <c r="B181" s="13" t="s">
        <v>597</v>
      </c>
      <c r="C181" s="4" t="s">
        <v>598</v>
      </c>
      <c r="D181" s="4" t="s">
        <v>599</v>
      </c>
      <c r="E181" s="4" t="s">
        <v>513</v>
      </c>
      <c r="F181" s="4" t="s">
        <v>600</v>
      </c>
      <c r="G181" s="4" t="s">
        <v>345</v>
      </c>
      <c r="H181" s="9" t="s">
        <v>44</v>
      </c>
      <c r="I181" s="41"/>
      <c r="J181" s="5" t="s">
        <v>334</v>
      </c>
      <c r="K181" s="5"/>
      <c r="L181" s="41" t="s">
        <v>1042</v>
      </c>
      <c r="M181" s="41" t="s">
        <v>1</v>
      </c>
      <c r="N181" s="6">
        <v>46169</v>
      </c>
      <c r="O181" s="6">
        <v>46169</v>
      </c>
      <c r="P181" s="112">
        <f>IF(Tabela3[[#This Row],[RETIRADA APÓS CALIBRAÇÃO (STANDBY)]]="","",Tabela3[[#This Row],[RETIRADA APÓS CALIBRAÇÃO (STANDBY)]]+365)</f>
        <v>46534</v>
      </c>
    </row>
    <row r="182" spans="1:16" s="2" customFormat="1" ht="54.95" customHeight="1" x14ac:dyDescent="0.5">
      <c r="A182" s="39"/>
      <c r="B182" s="16" t="s">
        <v>601</v>
      </c>
      <c r="C182" s="4" t="s">
        <v>602</v>
      </c>
      <c r="D182" s="4" t="s">
        <v>603</v>
      </c>
      <c r="E182" s="4" t="s">
        <v>100</v>
      </c>
      <c r="F182" s="4" t="s">
        <v>604</v>
      </c>
      <c r="G182" s="4" t="s">
        <v>603</v>
      </c>
      <c r="H182" s="9" t="s">
        <v>44</v>
      </c>
      <c r="I182" s="60"/>
      <c r="J182" s="5" t="s">
        <v>129</v>
      </c>
      <c r="K182" s="5"/>
      <c r="L182" s="41" t="s">
        <v>1273</v>
      </c>
      <c r="M182" s="41" t="s">
        <v>1</v>
      </c>
      <c r="N182" s="6">
        <v>46181</v>
      </c>
      <c r="O182" s="41" t="s">
        <v>313</v>
      </c>
      <c r="P182" s="112" t="e">
        <f>IF(Tabela3[[#This Row],[RETIRADA APÓS CALIBRAÇÃO (STANDBY)]]="","",Tabela3[[#This Row],[RETIRADA APÓS CALIBRAÇÃO (STANDBY)]]+365)</f>
        <v>#VALUE!</v>
      </c>
    </row>
    <row r="183" spans="1:16" s="2" customFormat="1" ht="54.95" customHeight="1" x14ac:dyDescent="0.5">
      <c r="A183" s="39"/>
      <c r="B183" s="12" t="s">
        <v>605</v>
      </c>
      <c r="C183" s="4" t="s">
        <v>602</v>
      </c>
      <c r="D183" s="7" t="s">
        <v>606</v>
      </c>
      <c r="E183" s="7" t="s">
        <v>358</v>
      </c>
      <c r="F183" s="7" t="s">
        <v>607</v>
      </c>
      <c r="G183" s="7" t="s">
        <v>608</v>
      </c>
      <c r="H183" s="7" t="s">
        <v>44</v>
      </c>
      <c r="I183" s="19"/>
      <c r="J183" s="7" t="s">
        <v>609</v>
      </c>
      <c r="K183" s="7"/>
      <c r="L183" s="19" t="s">
        <v>1257</v>
      </c>
      <c r="M183" s="41" t="s">
        <v>1</v>
      </c>
      <c r="N183" s="6">
        <v>46181</v>
      </c>
      <c r="O183" s="41" t="s">
        <v>313</v>
      </c>
      <c r="P183" s="112" t="e">
        <f>IF(Tabela3[[#This Row],[RETIRADA APÓS CALIBRAÇÃO (STANDBY)]]="","",Tabela3[[#This Row],[RETIRADA APÓS CALIBRAÇÃO (STANDBY)]]+365)</f>
        <v>#VALUE!</v>
      </c>
    </row>
    <row r="184" spans="1:16" s="2" customFormat="1" ht="54.95" customHeight="1" x14ac:dyDescent="0.5">
      <c r="A184" s="39"/>
      <c r="B184" s="14" t="s">
        <v>1212</v>
      </c>
      <c r="C184" s="9" t="s">
        <v>1192</v>
      </c>
      <c r="D184" s="7" t="s">
        <v>1193</v>
      </c>
      <c r="E184" s="7"/>
      <c r="F184" s="7"/>
      <c r="G184" s="7"/>
      <c r="H184" s="7" t="s">
        <v>1114</v>
      </c>
      <c r="I184" s="19"/>
      <c r="J184" s="7"/>
      <c r="K184" s="7"/>
      <c r="L184" s="19"/>
      <c r="M184" s="40" t="s">
        <v>2</v>
      </c>
      <c r="N184" s="114"/>
      <c r="O184" s="6"/>
      <c r="P184" s="112" t="str">
        <f>IF(Tabela3[[#This Row],[RETIRADA APÓS CALIBRAÇÃO (STANDBY)]]="","",Tabela3[[#This Row],[RETIRADA APÓS CALIBRAÇÃO (STANDBY)]]+365)</f>
        <v/>
      </c>
    </row>
    <row r="185" spans="1:16" s="2" customFormat="1" ht="54.95" customHeight="1" x14ac:dyDescent="0.5">
      <c r="A185" s="39"/>
      <c r="B185" s="14" t="s">
        <v>1211</v>
      </c>
      <c r="C185" s="9" t="s">
        <v>1192</v>
      </c>
      <c r="D185" s="7" t="s">
        <v>1193</v>
      </c>
      <c r="E185" s="7"/>
      <c r="F185" s="7"/>
      <c r="G185" s="7"/>
      <c r="H185" s="7" t="s">
        <v>1114</v>
      </c>
      <c r="I185" s="19"/>
      <c r="J185" s="7"/>
      <c r="K185" s="7"/>
      <c r="L185" s="19"/>
      <c r="M185" s="40" t="s">
        <v>2</v>
      </c>
      <c r="N185" s="114"/>
      <c r="O185" s="6"/>
      <c r="P185" s="112" t="str">
        <f>IF(Tabela3[[#This Row],[RETIRADA APÓS CALIBRAÇÃO (STANDBY)]]="","",Tabela3[[#This Row],[RETIRADA APÓS CALIBRAÇÃO (STANDBY)]]+365)</f>
        <v/>
      </c>
    </row>
    <row r="186" spans="1:16" s="2" customFormat="1" ht="54.95" customHeight="1" x14ac:dyDescent="0.5">
      <c r="A186" s="39"/>
      <c r="B186" s="14" t="s">
        <v>1213</v>
      </c>
      <c r="C186" s="105" t="s">
        <v>1192</v>
      </c>
      <c r="D186" s="7" t="s">
        <v>1193</v>
      </c>
      <c r="E186" s="7"/>
      <c r="F186" s="7"/>
      <c r="G186" s="7"/>
      <c r="H186" s="7" t="s">
        <v>1114</v>
      </c>
      <c r="I186" s="19"/>
      <c r="J186" s="7"/>
      <c r="K186" s="7"/>
      <c r="L186" s="19"/>
      <c r="M186" s="40"/>
      <c r="N186" s="114"/>
      <c r="O186" s="6"/>
      <c r="P186" s="112" t="str">
        <f>IF(Tabela3[[#This Row],[RETIRADA APÓS CALIBRAÇÃO (STANDBY)]]="","",Tabela3[[#This Row],[RETIRADA APÓS CALIBRAÇÃO (STANDBY)]]+365)</f>
        <v/>
      </c>
    </row>
    <row r="187" spans="1:16" s="2" customFormat="1" ht="54.95" customHeight="1" x14ac:dyDescent="0.5">
      <c r="A187" s="39"/>
      <c r="B187" s="14" t="s">
        <v>1210</v>
      </c>
      <c r="C187" s="105" t="s">
        <v>1192</v>
      </c>
      <c r="D187" s="7" t="s">
        <v>1325</v>
      </c>
      <c r="E187" s="7"/>
      <c r="F187" s="7"/>
      <c r="G187" s="7"/>
      <c r="H187" s="7" t="s">
        <v>1114</v>
      </c>
      <c r="I187" s="19"/>
      <c r="J187" s="7"/>
      <c r="K187" s="7"/>
      <c r="L187" s="19"/>
      <c r="M187" s="40" t="s">
        <v>2</v>
      </c>
      <c r="N187" s="114"/>
      <c r="O187" s="6"/>
      <c r="P187" s="112" t="str">
        <f>IF(Tabela3[[#This Row],[RETIRADA APÓS CALIBRAÇÃO (STANDBY)]]="","",Tabela3[[#This Row],[RETIRADA APÓS CALIBRAÇÃO (STANDBY)]]+365)</f>
        <v/>
      </c>
    </row>
    <row r="188" spans="1:16" s="2" customFormat="1" ht="54.75" customHeight="1" x14ac:dyDescent="0.5">
      <c r="A188" s="39"/>
      <c r="B188" s="56" t="s">
        <v>610</v>
      </c>
      <c r="C188" s="7" t="s">
        <v>611</v>
      </c>
      <c r="D188" s="7" t="s">
        <v>612</v>
      </c>
      <c r="E188" s="7" t="s">
        <v>613</v>
      </c>
      <c r="F188" s="7" t="s">
        <v>614</v>
      </c>
      <c r="G188" s="7"/>
      <c r="H188" s="7" t="s">
        <v>10</v>
      </c>
      <c r="I188" s="19"/>
      <c r="J188" s="7" t="s">
        <v>526</v>
      </c>
      <c r="K188" s="7"/>
      <c r="L188" s="19"/>
      <c r="M188" s="19" t="s">
        <v>4</v>
      </c>
      <c r="N188" s="114"/>
      <c r="O188" s="7"/>
      <c r="P188" s="112" t="str">
        <f>IF(Tabela3[[#This Row],[RETIRADA APÓS CALIBRAÇÃO (STANDBY)]]="","",Tabela3[[#This Row],[RETIRADA APÓS CALIBRAÇÃO (STANDBY)]]+365)</f>
        <v/>
      </c>
    </row>
    <row r="189" spans="1:16" s="2" customFormat="1" ht="65.25" customHeight="1" x14ac:dyDescent="0.5">
      <c r="A189" s="39"/>
      <c r="B189" s="13" t="s">
        <v>615</v>
      </c>
      <c r="C189" s="4" t="s">
        <v>616</v>
      </c>
      <c r="D189" s="64" t="s">
        <v>617</v>
      </c>
      <c r="E189" s="7" t="s">
        <v>491</v>
      </c>
      <c r="F189" s="7"/>
      <c r="G189" s="4" t="s">
        <v>618</v>
      </c>
      <c r="H189" s="7" t="s">
        <v>13</v>
      </c>
      <c r="I189" s="44"/>
      <c r="J189" s="7" t="s">
        <v>129</v>
      </c>
      <c r="K189" s="7" t="s">
        <v>619</v>
      </c>
      <c r="L189" s="19" t="s">
        <v>1322</v>
      </c>
      <c r="M189" s="19" t="s">
        <v>1</v>
      </c>
      <c r="N189" s="114">
        <v>46234</v>
      </c>
      <c r="O189" s="6">
        <v>46248</v>
      </c>
      <c r="P189" s="112">
        <f>IF(Tabela3[[#This Row],[RETIRADA APÓS CALIBRAÇÃO (STANDBY)]]="","",Tabela3[[#This Row],[RETIRADA APÓS CALIBRAÇÃO (STANDBY)]]+180)</f>
        <v>46428</v>
      </c>
    </row>
    <row r="190" spans="1:16" s="2" customFormat="1" ht="54.95" customHeight="1" x14ac:dyDescent="0.5">
      <c r="A190" s="39"/>
      <c r="B190" s="3" t="s">
        <v>620</v>
      </c>
      <c r="C190" s="4" t="s">
        <v>621</v>
      </c>
      <c r="D190" s="64" t="s">
        <v>622</v>
      </c>
      <c r="E190" s="4" t="s">
        <v>358</v>
      </c>
      <c r="F190" s="4" t="s">
        <v>50</v>
      </c>
      <c r="G190" s="4" t="s">
        <v>570</v>
      </c>
      <c r="H190" s="69" t="s">
        <v>636</v>
      </c>
      <c r="I190" s="41"/>
      <c r="J190" s="5" t="s">
        <v>623</v>
      </c>
      <c r="K190" s="5"/>
      <c r="L190" s="41" t="s">
        <v>624</v>
      </c>
      <c r="M190" s="41" t="s">
        <v>2</v>
      </c>
      <c r="N190" s="6">
        <v>45901</v>
      </c>
      <c r="O190" s="6">
        <v>45901</v>
      </c>
      <c r="P190" s="112">
        <f>IF(Tabela3[[#This Row],[RETIRADA APÓS CALIBRAÇÃO (STANDBY)]]="","",Tabela3[[#This Row],[RETIRADA APÓS CALIBRAÇÃO (STANDBY)]]+180)</f>
        <v>46081</v>
      </c>
    </row>
    <row r="191" spans="1:16" s="2" customFormat="1" ht="54.95" customHeight="1" x14ac:dyDescent="0.5">
      <c r="A191" s="39"/>
      <c r="B191" s="13" t="s">
        <v>625</v>
      </c>
      <c r="C191" s="4" t="s">
        <v>616</v>
      </c>
      <c r="D191" s="64" t="s">
        <v>626</v>
      </c>
      <c r="E191" s="4" t="s">
        <v>358</v>
      </c>
      <c r="F191" s="4" t="s">
        <v>50</v>
      </c>
      <c r="G191" s="4" t="s">
        <v>618</v>
      </c>
      <c r="H191" s="9" t="s">
        <v>44</v>
      </c>
      <c r="I191" s="41"/>
      <c r="J191" s="5" t="s">
        <v>623</v>
      </c>
      <c r="K191" s="5"/>
      <c r="L191" s="41" t="s">
        <v>1208</v>
      </c>
      <c r="M191" s="41" t="s">
        <v>1</v>
      </c>
      <c r="N191" s="6">
        <v>46178</v>
      </c>
      <c r="O191" s="6">
        <v>46178</v>
      </c>
      <c r="P191" s="112">
        <f>IF(Tabela3[[#This Row],[RETIRADA APÓS CALIBRAÇÃO (STANDBY)]]="","",Tabela3[[#This Row],[RETIRADA APÓS CALIBRAÇÃO (STANDBY)]]+180)</f>
        <v>46358</v>
      </c>
    </row>
    <row r="192" spans="1:16" s="2" customFormat="1" ht="54.95" customHeight="1" x14ac:dyDescent="0.5">
      <c r="A192" s="39"/>
      <c r="B192" s="148" t="s">
        <v>627</v>
      </c>
      <c r="C192" s="4" t="s">
        <v>616</v>
      </c>
      <c r="D192" s="64" t="s">
        <v>628</v>
      </c>
      <c r="E192" s="4" t="s">
        <v>558</v>
      </c>
      <c r="F192" s="4" t="s">
        <v>629</v>
      </c>
      <c r="G192" s="4" t="s">
        <v>630</v>
      </c>
      <c r="H192" s="9" t="s">
        <v>44</v>
      </c>
      <c r="I192" s="41" t="s">
        <v>1286</v>
      </c>
      <c r="J192" s="5" t="s">
        <v>623</v>
      </c>
      <c r="K192" s="5"/>
      <c r="L192" s="41" t="s">
        <v>631</v>
      </c>
      <c r="M192" s="41" t="s">
        <v>3</v>
      </c>
      <c r="N192" s="6">
        <v>45995</v>
      </c>
      <c r="O192" s="6">
        <v>45995</v>
      </c>
      <c r="P192" s="112">
        <f>IF(Tabela3[[#This Row],[RETIRADA APÓS CALIBRAÇÃO (STANDBY)]]="","",Tabela3[[#This Row],[RETIRADA APÓS CALIBRAÇÃO (STANDBY)]]+180)</f>
        <v>46175</v>
      </c>
    </row>
    <row r="193" spans="1:16" s="2" customFormat="1" ht="54.95" customHeight="1" x14ac:dyDescent="0.5">
      <c r="A193" s="39"/>
      <c r="B193" s="13" t="s">
        <v>632</v>
      </c>
      <c r="C193" s="4" t="s">
        <v>616</v>
      </c>
      <c r="D193" s="64" t="s">
        <v>633</v>
      </c>
      <c r="E193" s="4" t="s">
        <v>491</v>
      </c>
      <c r="F193" s="4">
        <v>20814680</v>
      </c>
      <c r="G193" s="4" t="s">
        <v>630</v>
      </c>
      <c r="H193" s="9" t="s">
        <v>1326</v>
      </c>
      <c r="I193" s="44" t="s">
        <v>1327</v>
      </c>
      <c r="J193" s="5" t="s">
        <v>129</v>
      </c>
      <c r="K193" s="5"/>
      <c r="L193" s="41" t="s">
        <v>1315</v>
      </c>
      <c r="M193" s="41" t="s">
        <v>1</v>
      </c>
      <c r="N193" s="6">
        <v>46234</v>
      </c>
      <c r="O193" s="6">
        <v>46245</v>
      </c>
      <c r="P193" s="112">
        <f>IF(Tabela3[[#This Row],[RETIRADA APÓS CALIBRAÇÃO (STANDBY)]]="","",Tabela3[[#This Row],[RETIRADA APÓS CALIBRAÇÃO (STANDBY)]]+180)</f>
        <v>46425</v>
      </c>
    </row>
    <row r="194" spans="1:16" s="2" customFormat="1" ht="54.95" customHeight="1" x14ac:dyDescent="0.5">
      <c r="A194" s="39"/>
      <c r="B194" s="13" t="s">
        <v>634</v>
      </c>
      <c r="C194" s="4" t="s">
        <v>616</v>
      </c>
      <c r="D194" s="64" t="s">
        <v>635</v>
      </c>
      <c r="E194" s="4" t="s">
        <v>491</v>
      </c>
      <c r="F194" s="4">
        <v>20814681</v>
      </c>
      <c r="G194" s="4" t="s">
        <v>630</v>
      </c>
      <c r="H194" s="7" t="s">
        <v>636</v>
      </c>
      <c r="I194" s="41"/>
      <c r="J194" s="5" t="s">
        <v>129</v>
      </c>
      <c r="K194" s="5" t="s">
        <v>637</v>
      </c>
      <c r="L194" s="41" t="s">
        <v>1209</v>
      </c>
      <c r="M194" s="41" t="s">
        <v>1</v>
      </c>
      <c r="N194" s="6">
        <v>46178</v>
      </c>
      <c r="O194" s="6">
        <v>46178</v>
      </c>
      <c r="P194" s="112">
        <f>IF(Tabela3[[#This Row],[RETIRADA APÓS CALIBRAÇÃO (STANDBY)]]="","",Tabela3[[#This Row],[RETIRADA APÓS CALIBRAÇÃO (STANDBY)]]+180)</f>
        <v>46358</v>
      </c>
    </row>
    <row r="195" spans="1:16" s="2" customFormat="1" ht="54.95" customHeight="1" x14ac:dyDescent="0.5">
      <c r="A195" s="39"/>
      <c r="B195" s="13" t="s">
        <v>638</v>
      </c>
      <c r="C195" s="4" t="s">
        <v>639</v>
      </c>
      <c r="D195" s="4" t="s">
        <v>640</v>
      </c>
      <c r="E195" s="4" t="s">
        <v>100</v>
      </c>
      <c r="F195" s="4"/>
      <c r="G195" s="4" t="s">
        <v>492</v>
      </c>
      <c r="H195" s="7"/>
      <c r="I195" s="41"/>
      <c r="J195" s="5"/>
      <c r="K195" s="5"/>
      <c r="L195" s="41" t="s">
        <v>641</v>
      </c>
      <c r="M195" s="41" t="s">
        <v>1</v>
      </c>
      <c r="N195" s="6">
        <v>46055</v>
      </c>
      <c r="O195" s="6">
        <v>46184</v>
      </c>
      <c r="P195" s="112">
        <f>IF(Tabela3[[#This Row],[RETIRADA APÓS CALIBRAÇÃO (STANDBY)]]="","",Tabela3[[#This Row],[RETIRADA APÓS CALIBRAÇÃO (STANDBY)]]+180)</f>
        <v>46364</v>
      </c>
    </row>
    <row r="196" spans="1:16" s="2" customFormat="1" ht="54.95" customHeight="1" x14ac:dyDescent="0.5">
      <c r="A196" s="39"/>
      <c r="B196" s="13" t="s">
        <v>642</v>
      </c>
      <c r="C196" s="4" t="s">
        <v>639</v>
      </c>
      <c r="D196" s="4" t="s">
        <v>640</v>
      </c>
      <c r="E196" s="4" t="s">
        <v>100</v>
      </c>
      <c r="F196" s="4"/>
      <c r="G196" s="4" t="s">
        <v>492</v>
      </c>
      <c r="H196" s="9"/>
      <c r="I196" s="41"/>
      <c r="J196" s="5"/>
      <c r="K196" s="5"/>
      <c r="L196" s="41" t="s">
        <v>98</v>
      </c>
      <c r="M196" s="41" t="s">
        <v>1</v>
      </c>
      <c r="N196" s="6">
        <v>46055</v>
      </c>
      <c r="O196" s="6">
        <v>46184</v>
      </c>
      <c r="P196" s="112">
        <f>IF(Tabela3[[#This Row],[RETIRADA APÓS CALIBRAÇÃO (STANDBY)]]="","",Tabela3[[#This Row],[RETIRADA APÓS CALIBRAÇÃO (STANDBY)]]+180)</f>
        <v>46364</v>
      </c>
    </row>
    <row r="197" spans="1:16" s="2" customFormat="1" ht="54.95" customHeight="1" x14ac:dyDescent="0.5">
      <c r="A197" s="39"/>
      <c r="B197" s="13" t="s">
        <v>643</v>
      </c>
      <c r="C197" s="4" t="s">
        <v>616</v>
      </c>
      <c r="D197" s="64" t="s">
        <v>644</v>
      </c>
      <c r="E197" s="4" t="s">
        <v>491</v>
      </c>
      <c r="F197" s="4">
        <v>21176020</v>
      </c>
      <c r="G197" s="4" t="s">
        <v>618</v>
      </c>
      <c r="H197" s="9" t="s">
        <v>645</v>
      </c>
      <c r="I197" s="19"/>
      <c r="J197" s="7" t="s">
        <v>129</v>
      </c>
      <c r="K197" s="7" t="s">
        <v>646</v>
      </c>
      <c r="L197" s="19" t="s">
        <v>1207</v>
      </c>
      <c r="M197" s="19" t="s">
        <v>1</v>
      </c>
      <c r="N197" s="6">
        <v>46176</v>
      </c>
      <c r="O197" s="6">
        <v>46176</v>
      </c>
      <c r="P197" s="112">
        <f>IF(Tabela3[[#This Row],[RETIRADA APÓS CALIBRAÇÃO (STANDBY)]]="","",Tabela3[[#This Row],[RETIRADA APÓS CALIBRAÇÃO (STANDBY)]]+180)</f>
        <v>46356</v>
      </c>
    </row>
    <row r="198" spans="1:16" s="2" customFormat="1" ht="54.75" customHeight="1" x14ac:dyDescent="0.5">
      <c r="A198" s="39"/>
      <c r="B198" s="13" t="s">
        <v>647</v>
      </c>
      <c r="C198" s="4" t="s">
        <v>639</v>
      </c>
      <c r="D198" s="4" t="s">
        <v>640</v>
      </c>
      <c r="E198" s="4" t="s">
        <v>100</v>
      </c>
      <c r="F198" s="4">
        <v>1306251494</v>
      </c>
      <c r="G198" s="4" t="s">
        <v>492</v>
      </c>
      <c r="H198" s="9"/>
      <c r="I198" s="19"/>
      <c r="J198" s="7"/>
      <c r="K198" s="7"/>
      <c r="L198" s="19" t="s">
        <v>79</v>
      </c>
      <c r="M198" s="19" t="s">
        <v>1</v>
      </c>
      <c r="N198" s="6">
        <v>46055</v>
      </c>
      <c r="O198" s="6">
        <v>46184</v>
      </c>
      <c r="P198" s="112">
        <f>IF(Tabela3[[#This Row],[RETIRADA APÓS CALIBRAÇÃO (STANDBY)]]="","",Tabela3[[#This Row],[RETIRADA APÓS CALIBRAÇÃO (STANDBY)]]+180)</f>
        <v>46364</v>
      </c>
    </row>
    <row r="199" spans="1:16" s="2" customFormat="1" ht="54.95" customHeight="1" x14ac:dyDescent="0.5">
      <c r="A199" s="39"/>
      <c r="B199" s="3" t="s">
        <v>648</v>
      </c>
      <c r="C199" s="4" t="s">
        <v>639</v>
      </c>
      <c r="D199" s="64" t="s">
        <v>640</v>
      </c>
      <c r="E199" s="4" t="s">
        <v>491</v>
      </c>
      <c r="F199" s="4">
        <v>17023</v>
      </c>
      <c r="G199" s="4" t="s">
        <v>649</v>
      </c>
      <c r="H199" s="80"/>
      <c r="I199" s="41"/>
      <c r="J199" s="5" t="s">
        <v>129</v>
      </c>
      <c r="K199" s="5"/>
      <c r="L199" s="41" t="s">
        <v>650</v>
      </c>
      <c r="M199" s="41" t="s">
        <v>2</v>
      </c>
      <c r="N199" s="6">
        <v>45994</v>
      </c>
      <c r="O199" s="6">
        <v>45994</v>
      </c>
      <c r="P199" s="112">
        <f>IF(Tabela3[[#This Row],[RETIRADA APÓS CALIBRAÇÃO (STANDBY)]]="","",Tabela3[[#This Row],[RETIRADA APÓS CALIBRAÇÃO (STANDBY)]]+180)</f>
        <v>46174</v>
      </c>
    </row>
    <row r="200" spans="1:16" s="2" customFormat="1" ht="54.95" customHeight="1" x14ac:dyDescent="0.5">
      <c r="A200" s="39"/>
      <c r="B200" s="13" t="s">
        <v>651</v>
      </c>
      <c r="C200" s="4" t="s">
        <v>652</v>
      </c>
      <c r="D200" s="64" t="s">
        <v>653</v>
      </c>
      <c r="E200" s="4" t="s">
        <v>491</v>
      </c>
      <c r="F200" s="4"/>
      <c r="G200" s="4" t="s">
        <v>649</v>
      </c>
      <c r="H200" s="9" t="s">
        <v>44</v>
      </c>
      <c r="I200" s="41"/>
      <c r="J200" s="5" t="s">
        <v>590</v>
      </c>
      <c r="K200" s="5"/>
      <c r="L200" s="41" t="s">
        <v>84</v>
      </c>
      <c r="M200" s="41" t="s">
        <v>1</v>
      </c>
      <c r="N200" s="6">
        <v>46055</v>
      </c>
      <c r="O200" s="6">
        <v>46055</v>
      </c>
      <c r="P200" s="112">
        <f>IF(Tabela3[[#This Row],[RETIRADA APÓS CALIBRAÇÃO (STANDBY)]]="","",Tabela3[[#This Row],[RETIRADA APÓS CALIBRAÇÃO (STANDBY)]]+180)</f>
        <v>46235</v>
      </c>
    </row>
    <row r="201" spans="1:16" s="2" customFormat="1" ht="54.95" customHeight="1" x14ac:dyDescent="0.5">
      <c r="A201" s="39"/>
      <c r="B201" s="13" t="s">
        <v>654</v>
      </c>
      <c r="C201" s="4" t="s">
        <v>621</v>
      </c>
      <c r="D201" s="64" t="s">
        <v>640</v>
      </c>
      <c r="E201" s="4" t="s">
        <v>491</v>
      </c>
      <c r="F201" s="4">
        <v>17023</v>
      </c>
      <c r="G201" s="4" t="s">
        <v>570</v>
      </c>
      <c r="H201" s="9" t="s">
        <v>15</v>
      </c>
      <c r="I201" s="41"/>
      <c r="J201" s="5" t="s">
        <v>129</v>
      </c>
      <c r="K201" s="5" t="s">
        <v>655</v>
      </c>
      <c r="L201" s="41" t="s">
        <v>75</v>
      </c>
      <c r="M201" s="41" t="s">
        <v>1</v>
      </c>
      <c r="N201" s="6">
        <v>46055</v>
      </c>
      <c r="O201" s="6">
        <v>46055</v>
      </c>
      <c r="P201" s="112">
        <f>IF(Tabela3[[#This Row],[RETIRADA APÓS CALIBRAÇÃO (STANDBY)]]="","",Tabela3[[#This Row],[RETIRADA APÓS CALIBRAÇÃO (STANDBY)]]+180)</f>
        <v>46235</v>
      </c>
    </row>
    <row r="202" spans="1:16" s="2" customFormat="1" ht="54.75" customHeight="1" x14ac:dyDescent="0.5">
      <c r="A202" s="39"/>
      <c r="B202" s="148" t="s">
        <v>656</v>
      </c>
      <c r="C202" s="4" t="s">
        <v>616</v>
      </c>
      <c r="D202" s="64" t="s">
        <v>657</v>
      </c>
      <c r="E202" s="4" t="s">
        <v>491</v>
      </c>
      <c r="F202" s="4">
        <v>21148954</v>
      </c>
      <c r="G202" s="4"/>
      <c r="H202" s="9" t="s">
        <v>658</v>
      </c>
      <c r="I202" s="41" t="s">
        <v>1324</v>
      </c>
      <c r="J202" s="5" t="s">
        <v>129</v>
      </c>
      <c r="K202" s="5" t="s">
        <v>659</v>
      </c>
      <c r="L202" s="41" t="s">
        <v>660</v>
      </c>
      <c r="M202" s="41" t="s">
        <v>3</v>
      </c>
      <c r="N202" s="6">
        <v>45922</v>
      </c>
      <c r="O202" s="6">
        <v>45922</v>
      </c>
      <c r="P202" s="112">
        <f>IF(Tabela3[[#This Row],[RETIRADA APÓS CALIBRAÇÃO (STANDBY)]]="","",Tabela3[[#This Row],[RETIRADA APÓS CALIBRAÇÃO (STANDBY)]]+180)</f>
        <v>46102</v>
      </c>
    </row>
    <row r="203" spans="1:16" s="2" customFormat="1" ht="69.75" customHeight="1" x14ac:dyDescent="0.5">
      <c r="A203" s="39"/>
      <c r="B203" s="70" t="s">
        <v>661</v>
      </c>
      <c r="C203" s="4" t="s">
        <v>616</v>
      </c>
      <c r="D203" s="4" t="s">
        <v>635</v>
      </c>
      <c r="E203" s="4" t="s">
        <v>491</v>
      </c>
      <c r="F203" s="4">
        <v>22118468</v>
      </c>
      <c r="G203" s="4"/>
      <c r="H203" s="4" t="s">
        <v>44</v>
      </c>
      <c r="I203" s="41"/>
      <c r="J203" s="5" t="s">
        <v>432</v>
      </c>
      <c r="K203" s="5" t="s">
        <v>662</v>
      </c>
      <c r="L203" s="41" t="s">
        <v>663</v>
      </c>
      <c r="M203" s="41" t="s">
        <v>5</v>
      </c>
      <c r="N203" s="115"/>
      <c r="O203" s="6">
        <v>45349</v>
      </c>
      <c r="P203" s="112">
        <f>IF(Tabela3[[#This Row],[RETIRADA APÓS CALIBRAÇÃO (STANDBY)]]="","",Tabela3[[#This Row],[RETIRADA APÓS CALIBRAÇÃO (STANDBY)]]+180)</f>
        <v>45529</v>
      </c>
    </row>
    <row r="204" spans="1:16" s="2" customFormat="1" ht="54.95" customHeight="1" x14ac:dyDescent="0.5">
      <c r="A204" s="39"/>
      <c r="B204" s="13" t="s">
        <v>664</v>
      </c>
      <c r="C204" s="4" t="s">
        <v>621</v>
      </c>
      <c r="D204" s="64" t="s">
        <v>640</v>
      </c>
      <c r="E204" s="4" t="s">
        <v>491</v>
      </c>
      <c r="F204" s="4">
        <v>42723</v>
      </c>
      <c r="G204" s="4"/>
      <c r="H204" s="4" t="s">
        <v>1275</v>
      </c>
      <c r="I204" s="44"/>
      <c r="J204" s="20" t="s">
        <v>129</v>
      </c>
      <c r="K204" s="20" t="s">
        <v>666</v>
      </c>
      <c r="L204" s="44" t="s">
        <v>1317</v>
      </c>
      <c r="M204" s="44" t="s">
        <v>1</v>
      </c>
      <c r="N204" s="6">
        <v>46265</v>
      </c>
      <c r="O204" s="6">
        <v>46245</v>
      </c>
      <c r="P204" s="112">
        <f>IF(Tabela3[[#This Row],[RETIRADA APÓS CALIBRAÇÃO (STANDBY)]]="","",Tabela3[[#This Row],[RETIRADA APÓS CALIBRAÇÃO (STANDBY)]]+180)</f>
        <v>46425</v>
      </c>
    </row>
    <row r="205" spans="1:16" s="2" customFormat="1" ht="54.95" customHeight="1" x14ac:dyDescent="0.5">
      <c r="A205" s="39"/>
      <c r="B205" s="108" t="s">
        <v>667</v>
      </c>
      <c r="C205" s="4" t="s">
        <v>621</v>
      </c>
      <c r="D205" s="64" t="s">
        <v>640</v>
      </c>
      <c r="E205" s="4" t="s">
        <v>358</v>
      </c>
      <c r="F205" s="4">
        <v>22086271</v>
      </c>
      <c r="G205" s="9"/>
      <c r="H205" s="7"/>
      <c r="I205" s="44" t="s">
        <v>1320</v>
      </c>
      <c r="J205" s="20" t="s">
        <v>129</v>
      </c>
      <c r="K205" s="20" t="s">
        <v>668</v>
      </c>
      <c r="L205" s="44" t="s">
        <v>669</v>
      </c>
      <c r="M205" s="44" t="s">
        <v>2</v>
      </c>
      <c r="N205" s="6">
        <v>45929</v>
      </c>
      <c r="O205" s="6">
        <v>45929</v>
      </c>
      <c r="P205" s="112">
        <f>IF(Tabela3[[#This Row],[RETIRADA APÓS CALIBRAÇÃO (STANDBY)]]="","",Tabela3[[#This Row],[RETIRADA APÓS CALIBRAÇÃO (STANDBY)]]+180)</f>
        <v>46109</v>
      </c>
    </row>
    <row r="206" spans="1:16" s="2" customFormat="1" ht="52.5" customHeight="1" x14ac:dyDescent="0.5">
      <c r="A206" s="39"/>
      <c r="B206" s="13" t="s">
        <v>670</v>
      </c>
      <c r="C206" s="4" t="s">
        <v>621</v>
      </c>
      <c r="D206" s="64" t="s">
        <v>640</v>
      </c>
      <c r="E206" s="4" t="s">
        <v>358</v>
      </c>
      <c r="F206" s="4"/>
      <c r="G206" s="4"/>
      <c r="H206" s="9"/>
      <c r="I206" s="44"/>
      <c r="J206" s="20" t="s">
        <v>129</v>
      </c>
      <c r="K206" s="20" t="s">
        <v>671</v>
      </c>
      <c r="L206" s="44" t="s">
        <v>1321</v>
      </c>
      <c r="M206" s="44" t="s">
        <v>1</v>
      </c>
      <c r="N206" s="6">
        <v>46234</v>
      </c>
      <c r="O206" s="6">
        <v>46248</v>
      </c>
      <c r="P206" s="112">
        <f>IF(Tabela3[[#This Row],[RETIRADA APÓS CALIBRAÇÃO (STANDBY)]]="","",Tabela3[[#This Row],[RETIRADA APÓS CALIBRAÇÃO (STANDBY)]]+180)</f>
        <v>46428</v>
      </c>
    </row>
    <row r="207" spans="1:16" s="2" customFormat="1" ht="54.95" customHeight="1" x14ac:dyDescent="0.5">
      <c r="A207" s="39"/>
      <c r="B207" s="108" t="s">
        <v>672</v>
      </c>
      <c r="C207" s="4" t="s">
        <v>616</v>
      </c>
      <c r="D207" s="64" t="s">
        <v>635</v>
      </c>
      <c r="E207" s="4" t="s">
        <v>358</v>
      </c>
      <c r="F207" s="4">
        <v>21030466</v>
      </c>
      <c r="G207" s="4"/>
      <c r="H207" s="9"/>
      <c r="I207" s="41" t="s">
        <v>1279</v>
      </c>
      <c r="J207" s="20" t="s">
        <v>129</v>
      </c>
      <c r="K207" s="20" t="s">
        <v>673</v>
      </c>
      <c r="L207" s="44" t="s">
        <v>674</v>
      </c>
      <c r="M207" s="44" t="s">
        <v>2</v>
      </c>
      <c r="N207" s="6">
        <v>45901</v>
      </c>
      <c r="O207" s="6">
        <v>45901</v>
      </c>
      <c r="P207" s="112">
        <f>IF(Tabela3[[#This Row],[RETIRADA APÓS CALIBRAÇÃO (STANDBY)]]="","",Tabela3[[#This Row],[RETIRADA APÓS CALIBRAÇÃO (STANDBY)]]+180)</f>
        <v>46081</v>
      </c>
    </row>
    <row r="208" spans="1:16" s="2" customFormat="1" ht="54.75" customHeight="1" x14ac:dyDescent="0.5">
      <c r="A208" s="39"/>
      <c r="B208" s="93" t="s">
        <v>675</v>
      </c>
      <c r="C208" s="4" t="s">
        <v>616</v>
      </c>
      <c r="D208" s="4" t="s">
        <v>635</v>
      </c>
      <c r="E208" s="4" t="s">
        <v>358</v>
      </c>
      <c r="F208" s="4">
        <v>22093202</v>
      </c>
      <c r="G208" s="4"/>
      <c r="H208" s="9" t="s">
        <v>16</v>
      </c>
      <c r="I208" s="41" t="s">
        <v>676</v>
      </c>
      <c r="J208" s="5"/>
      <c r="K208" s="5"/>
      <c r="L208" s="44" t="s">
        <v>677</v>
      </c>
      <c r="M208" s="44"/>
      <c r="N208" s="118"/>
      <c r="O208" s="6">
        <v>45078</v>
      </c>
      <c r="P208" s="112">
        <f>IF(Tabela3[[#This Row],[RETIRADA APÓS CALIBRAÇÃO (STANDBY)]]="","",Tabela3[[#This Row],[RETIRADA APÓS CALIBRAÇÃO (STANDBY)]]+180)</f>
        <v>45258</v>
      </c>
    </row>
    <row r="209" spans="1:21" s="2" customFormat="1" ht="54.95" customHeight="1" x14ac:dyDescent="0.5">
      <c r="A209" s="39"/>
      <c r="B209" s="149" t="s">
        <v>678</v>
      </c>
      <c r="C209" s="4" t="s">
        <v>616</v>
      </c>
      <c r="D209" s="64" t="s">
        <v>635</v>
      </c>
      <c r="E209" s="4" t="s">
        <v>358</v>
      </c>
      <c r="F209" s="4">
        <v>22093189</v>
      </c>
      <c r="G209" s="4" t="s">
        <v>570</v>
      </c>
      <c r="H209" s="9" t="s">
        <v>17</v>
      </c>
      <c r="I209" s="41" t="s">
        <v>1324</v>
      </c>
      <c r="J209" s="5" t="s">
        <v>129</v>
      </c>
      <c r="K209" s="5" t="s">
        <v>679</v>
      </c>
      <c r="L209" s="41" t="s">
        <v>680</v>
      </c>
      <c r="M209" s="44" t="s">
        <v>3</v>
      </c>
      <c r="N209" s="6">
        <v>45922</v>
      </c>
      <c r="O209" s="6">
        <v>45922</v>
      </c>
      <c r="P209" s="112">
        <f>IF(Tabela3[[#This Row],[RETIRADA APÓS CALIBRAÇÃO (STANDBY)]]="","",Tabela3[[#This Row],[RETIRADA APÓS CALIBRAÇÃO (STANDBY)]]+180)</f>
        <v>46102</v>
      </c>
    </row>
    <row r="210" spans="1:21" s="2" customFormat="1" ht="54.75" customHeight="1" x14ac:dyDescent="0.5">
      <c r="A210" s="39"/>
      <c r="B210" s="16" t="s">
        <v>681</v>
      </c>
      <c r="C210" s="4" t="s">
        <v>621</v>
      </c>
      <c r="D210" s="64" t="s">
        <v>640</v>
      </c>
      <c r="E210" s="4" t="s">
        <v>358</v>
      </c>
      <c r="F210" s="4">
        <v>22096814</v>
      </c>
      <c r="G210" s="4" t="s">
        <v>570</v>
      </c>
      <c r="H210" s="9"/>
      <c r="I210" s="41"/>
      <c r="J210" s="5" t="s">
        <v>623</v>
      </c>
      <c r="K210" s="5" t="s">
        <v>682</v>
      </c>
      <c r="L210" s="41" t="s">
        <v>1316</v>
      </c>
      <c r="M210" s="41" t="s">
        <v>1</v>
      </c>
      <c r="N210" s="6">
        <v>46234</v>
      </c>
      <c r="O210" s="6">
        <v>46245</v>
      </c>
      <c r="P210" s="112">
        <f>IF(Tabela3[[#This Row],[RETIRADA APÓS CALIBRAÇÃO (STANDBY)]]="","",Tabela3[[#This Row],[RETIRADA APÓS CALIBRAÇÃO (STANDBY)]]+180)</f>
        <v>46425</v>
      </c>
    </row>
    <row r="211" spans="1:21" s="2" customFormat="1" ht="72" customHeight="1" x14ac:dyDescent="0.5">
      <c r="A211" s="39"/>
      <c r="B211" s="16" t="s">
        <v>683</v>
      </c>
      <c r="C211" s="32" t="s">
        <v>621</v>
      </c>
      <c r="D211" s="64" t="s">
        <v>640</v>
      </c>
      <c r="E211" s="4" t="s">
        <v>491</v>
      </c>
      <c r="F211" s="4">
        <v>39591</v>
      </c>
      <c r="G211" s="4"/>
      <c r="H211" s="9"/>
      <c r="I211" s="41"/>
      <c r="J211" s="5" t="s">
        <v>129</v>
      </c>
      <c r="K211" s="5" t="s">
        <v>684</v>
      </c>
      <c r="L211" s="41" t="s">
        <v>1319</v>
      </c>
      <c r="M211" s="41" t="s">
        <v>1</v>
      </c>
      <c r="N211" s="6">
        <v>46234</v>
      </c>
      <c r="O211" s="6">
        <v>46245</v>
      </c>
      <c r="P211" s="112">
        <f>IF(Tabela3[[#This Row],[RETIRADA APÓS CALIBRAÇÃO (STANDBY)]]="","",Tabela3[[#This Row],[RETIRADA APÓS CALIBRAÇÃO (STANDBY)]]+180)</f>
        <v>46425</v>
      </c>
    </row>
    <row r="212" spans="1:21" s="2" customFormat="1" ht="87" customHeight="1" x14ac:dyDescent="0.5">
      <c r="A212" s="39"/>
      <c r="B212" s="108" t="s">
        <v>685</v>
      </c>
      <c r="C212" s="32" t="s">
        <v>652</v>
      </c>
      <c r="D212" s="64" t="s">
        <v>686</v>
      </c>
      <c r="E212" s="4" t="s">
        <v>358</v>
      </c>
      <c r="F212" s="4">
        <v>22062798</v>
      </c>
      <c r="G212" s="4" t="s">
        <v>649</v>
      </c>
      <c r="H212" s="9" t="s">
        <v>44</v>
      </c>
      <c r="I212" s="41"/>
      <c r="J212" s="5" t="s">
        <v>687</v>
      </c>
      <c r="K212" s="5"/>
      <c r="L212" s="41" t="s">
        <v>669</v>
      </c>
      <c r="M212" s="41" t="s">
        <v>2</v>
      </c>
      <c r="N212" s="115">
        <v>45929</v>
      </c>
      <c r="O212" s="6">
        <v>45929</v>
      </c>
      <c r="P212" s="112">
        <f>IF(Tabela3[[#This Row],[RETIRADA APÓS CALIBRAÇÃO (STANDBY)]]="","",Tabela3[[#This Row],[RETIRADA APÓS CALIBRAÇÃO (STANDBY)]]+180)</f>
        <v>46109</v>
      </c>
    </row>
    <row r="213" spans="1:21" s="2" customFormat="1" ht="54.95" customHeight="1" x14ac:dyDescent="0.5">
      <c r="A213" s="39"/>
      <c r="B213" s="16" t="s">
        <v>688</v>
      </c>
      <c r="C213" s="32" t="s">
        <v>652</v>
      </c>
      <c r="D213" s="64" t="s">
        <v>689</v>
      </c>
      <c r="E213" s="4" t="s">
        <v>358</v>
      </c>
      <c r="F213" s="4">
        <v>7070290</v>
      </c>
      <c r="G213" s="4" t="s">
        <v>690</v>
      </c>
      <c r="H213" s="4" t="s">
        <v>665</v>
      </c>
      <c r="I213" s="19"/>
      <c r="J213" s="5" t="s">
        <v>129</v>
      </c>
      <c r="K213" s="5" t="s">
        <v>691</v>
      </c>
      <c r="L213" s="41" t="s">
        <v>1318</v>
      </c>
      <c r="M213" s="41" t="s">
        <v>1</v>
      </c>
      <c r="N213" s="6">
        <v>46234</v>
      </c>
      <c r="O213" s="6">
        <v>46245</v>
      </c>
      <c r="P213" s="112">
        <f>IF(Tabela3[[#This Row],[RETIRADA APÓS CALIBRAÇÃO (STANDBY)]]="","",Tabela3[[#This Row],[RETIRADA APÓS CALIBRAÇÃO (STANDBY)]]+180)</f>
        <v>46425</v>
      </c>
    </row>
    <row r="214" spans="1:21" s="2" customFormat="1" ht="54.95" customHeight="1" x14ac:dyDescent="0.5">
      <c r="A214" s="39"/>
      <c r="B214" s="149" t="s">
        <v>692</v>
      </c>
      <c r="C214" s="4" t="s">
        <v>616</v>
      </c>
      <c r="D214" s="4" t="s">
        <v>693</v>
      </c>
      <c r="E214" s="4" t="s">
        <v>491</v>
      </c>
      <c r="F214" s="4"/>
      <c r="G214" s="4" t="s">
        <v>1274</v>
      </c>
      <c r="H214" s="9" t="s">
        <v>44</v>
      </c>
      <c r="I214" s="41" t="s">
        <v>1277</v>
      </c>
      <c r="J214" s="41" t="s">
        <v>694</v>
      </c>
      <c r="K214" s="5"/>
      <c r="L214" s="41" t="s">
        <v>695</v>
      </c>
      <c r="M214" s="41" t="s">
        <v>3</v>
      </c>
      <c r="N214" s="6">
        <v>45929</v>
      </c>
      <c r="O214" s="6">
        <v>45929</v>
      </c>
      <c r="P214" s="112">
        <f>IF(Tabela3[[#This Row],[RETIRADA APÓS CALIBRAÇÃO (STANDBY)]]="","",Tabela3[[#This Row],[RETIRADA APÓS CALIBRAÇÃO (STANDBY)]]+180)</f>
        <v>46109</v>
      </c>
    </row>
    <row r="215" spans="1:21" s="2" customFormat="1" ht="54.95" customHeight="1" x14ac:dyDescent="0.5">
      <c r="A215" s="39"/>
      <c r="B215" s="13" t="s">
        <v>696</v>
      </c>
      <c r="C215" s="7" t="s">
        <v>697</v>
      </c>
      <c r="D215" s="7" t="s">
        <v>698</v>
      </c>
      <c r="E215" s="7" t="s">
        <v>699</v>
      </c>
      <c r="F215" s="7" t="s">
        <v>700</v>
      </c>
      <c r="G215" s="7"/>
      <c r="H215" s="7" t="s">
        <v>44</v>
      </c>
      <c r="I215" s="19"/>
      <c r="J215" s="7" t="s">
        <v>45</v>
      </c>
      <c r="K215" s="7"/>
      <c r="L215" s="19" t="s">
        <v>701</v>
      </c>
      <c r="M215" s="41" t="s">
        <v>1</v>
      </c>
      <c r="N215" s="6">
        <v>45933</v>
      </c>
      <c r="O215" s="6">
        <v>45933</v>
      </c>
      <c r="P215" s="112">
        <f>IF(Tabela3[[#This Row],[RETIRADA APÓS CALIBRAÇÃO (STANDBY)]]="","",Tabela3[[#This Row],[RETIRADA APÓS CALIBRAÇÃO (STANDBY)]]+365)</f>
        <v>46298</v>
      </c>
    </row>
    <row r="216" spans="1:21" s="2" customFormat="1" ht="54.95" customHeight="1" x14ac:dyDescent="0.5">
      <c r="A216" s="39"/>
      <c r="B216" s="58" t="s">
        <v>702</v>
      </c>
      <c r="C216" s="7" t="s">
        <v>703</v>
      </c>
      <c r="D216" s="7" t="s">
        <v>704</v>
      </c>
      <c r="E216" s="7" t="s">
        <v>584</v>
      </c>
      <c r="F216" s="7" t="s">
        <v>705</v>
      </c>
      <c r="G216" s="7"/>
      <c r="H216" s="7" t="s">
        <v>11</v>
      </c>
      <c r="I216" s="19"/>
      <c r="J216" s="7" t="s">
        <v>129</v>
      </c>
      <c r="K216" s="7"/>
      <c r="L216" s="19" t="s">
        <v>128</v>
      </c>
      <c r="M216" s="41" t="s">
        <v>4</v>
      </c>
      <c r="N216" s="115"/>
      <c r="O216" s="6" t="s">
        <v>128</v>
      </c>
      <c r="P216" s="112" t="e">
        <f>IF(Tabela3[[#This Row],[RETIRADA APÓS CALIBRAÇÃO (STANDBY)]]="","",Tabela3[[#This Row],[RETIRADA APÓS CALIBRAÇÃO (STANDBY)]]+365)</f>
        <v>#VALUE!</v>
      </c>
    </row>
    <row r="217" spans="1:21" s="2" customFormat="1" ht="54.95" customHeight="1" x14ac:dyDescent="0.5">
      <c r="A217" s="39"/>
      <c r="B217" s="58" t="s">
        <v>706</v>
      </c>
      <c r="C217" s="4" t="s">
        <v>707</v>
      </c>
      <c r="D217" s="4" t="s">
        <v>708</v>
      </c>
      <c r="E217" s="4" t="s">
        <v>709</v>
      </c>
      <c r="F217" s="4"/>
      <c r="G217" s="4"/>
      <c r="H217" s="9" t="s">
        <v>44</v>
      </c>
      <c r="I217" s="41"/>
      <c r="J217" s="5" t="s">
        <v>334</v>
      </c>
      <c r="K217" s="5"/>
      <c r="L217" s="41"/>
      <c r="M217" s="41" t="s">
        <v>4</v>
      </c>
      <c r="N217" s="115"/>
      <c r="O217" s="6"/>
      <c r="P217" s="112" t="str">
        <f>IF(Tabela3[[#This Row],[RETIRADA APÓS CALIBRAÇÃO (STANDBY)]]="","",Tabela3[[#This Row],[RETIRADA APÓS CALIBRAÇÃO (STANDBY)]]+365)</f>
        <v/>
      </c>
    </row>
    <row r="218" spans="1:21" s="2" customFormat="1" ht="54.95" customHeight="1" x14ac:dyDescent="0.5">
      <c r="A218" s="39"/>
      <c r="B218" s="58" t="s">
        <v>706</v>
      </c>
      <c r="C218" s="7" t="s">
        <v>710</v>
      </c>
      <c r="D218" s="7" t="s">
        <v>711</v>
      </c>
      <c r="E218" s="7" t="s">
        <v>712</v>
      </c>
      <c r="F218" s="7" t="s">
        <v>713</v>
      </c>
      <c r="G218" s="101"/>
      <c r="H218" s="7" t="s">
        <v>44</v>
      </c>
      <c r="I218" s="63"/>
      <c r="J218" s="101" t="s">
        <v>714</v>
      </c>
      <c r="K218" s="101"/>
      <c r="L218" s="19"/>
      <c r="M218" s="41" t="s">
        <v>4</v>
      </c>
      <c r="N218" s="115"/>
      <c r="O218" s="7"/>
      <c r="P218" s="112" t="str">
        <f>IF(Tabela3[[#This Row],[RETIRADA APÓS CALIBRAÇÃO (STANDBY)]]="","",Tabela3[[#This Row],[RETIRADA APÓS CALIBRAÇÃO (STANDBY)]]+365)</f>
        <v/>
      </c>
    </row>
    <row r="219" spans="1:21" ht="54.95" customHeight="1" x14ac:dyDescent="0.5">
      <c r="A219" s="39"/>
      <c r="B219" s="58" t="s">
        <v>715</v>
      </c>
      <c r="C219" s="4" t="s">
        <v>707</v>
      </c>
      <c r="D219" s="4" t="s">
        <v>708</v>
      </c>
      <c r="E219" s="4" t="s">
        <v>709</v>
      </c>
      <c r="F219" s="4"/>
      <c r="G219" s="4"/>
      <c r="H219" s="9" t="s">
        <v>44</v>
      </c>
      <c r="I219" s="41"/>
      <c r="J219" s="5" t="s">
        <v>334</v>
      </c>
      <c r="K219" s="5"/>
      <c r="L219" s="41"/>
      <c r="M219" s="41" t="s">
        <v>4</v>
      </c>
      <c r="N219" s="115"/>
      <c r="O219" s="6"/>
      <c r="P219" s="112" t="str">
        <f>IF(Tabela3[[#This Row],[RETIRADA APÓS CALIBRAÇÃO (STANDBY)]]="","",Tabela3[[#This Row],[RETIRADA APÓS CALIBRAÇÃO (STANDBY)]]+365)</f>
        <v/>
      </c>
      <c r="T219" s="2"/>
      <c r="U219" s="2"/>
    </row>
    <row r="220" spans="1:21" ht="54.95" customHeight="1" x14ac:dyDescent="0.5">
      <c r="A220" s="39"/>
      <c r="B220" s="58" t="s">
        <v>715</v>
      </c>
      <c r="C220" s="7" t="s">
        <v>710</v>
      </c>
      <c r="D220" s="7" t="s">
        <v>716</v>
      </c>
      <c r="E220" s="26" t="s">
        <v>712</v>
      </c>
      <c r="F220" s="26" t="s">
        <v>717</v>
      </c>
      <c r="G220" s="26"/>
      <c r="H220" s="26" t="s">
        <v>44</v>
      </c>
      <c r="I220" s="45"/>
      <c r="J220" s="7" t="s">
        <v>714</v>
      </c>
      <c r="K220" s="26"/>
      <c r="L220" s="45"/>
      <c r="M220" s="41" t="s">
        <v>4</v>
      </c>
      <c r="N220" s="119"/>
      <c r="O220" s="26"/>
      <c r="P220" s="112" t="str">
        <f>IF(Tabela3[[#This Row],[RETIRADA APÓS CALIBRAÇÃO (STANDBY)]]="","",Tabela3[[#This Row],[RETIRADA APÓS CALIBRAÇÃO (STANDBY)]]+365)</f>
        <v/>
      </c>
    </row>
    <row r="221" spans="1:21" ht="54.95" customHeight="1" x14ac:dyDescent="0.5">
      <c r="A221" s="39"/>
      <c r="B221" s="58" t="s">
        <v>718</v>
      </c>
      <c r="C221" s="27" t="s">
        <v>710</v>
      </c>
      <c r="D221" s="26" t="s">
        <v>719</v>
      </c>
      <c r="E221" s="26" t="s">
        <v>712</v>
      </c>
      <c r="F221" s="26" t="s">
        <v>720</v>
      </c>
      <c r="G221" s="26"/>
      <c r="H221" s="26" t="s">
        <v>44</v>
      </c>
      <c r="I221" s="45"/>
      <c r="J221" s="7" t="s">
        <v>714</v>
      </c>
      <c r="K221" s="26"/>
      <c r="L221" s="45"/>
      <c r="M221" s="41" t="s">
        <v>4</v>
      </c>
      <c r="N221" s="119"/>
      <c r="O221" s="26"/>
      <c r="P221" s="112" t="str">
        <f>IF(Tabela3[[#This Row],[RETIRADA APÓS CALIBRAÇÃO (STANDBY)]]="","",Tabela3[[#This Row],[RETIRADA APÓS CALIBRAÇÃO (STANDBY)]]+365)</f>
        <v/>
      </c>
    </row>
    <row r="222" spans="1:21" ht="54.95" customHeight="1" x14ac:dyDescent="0.5">
      <c r="A222" s="39"/>
      <c r="B222" s="58" t="s">
        <v>721</v>
      </c>
      <c r="C222" s="27" t="s">
        <v>710</v>
      </c>
      <c r="D222" s="26" t="s">
        <v>722</v>
      </c>
      <c r="E222" s="26" t="s">
        <v>712</v>
      </c>
      <c r="F222" s="26" t="s">
        <v>723</v>
      </c>
      <c r="G222" s="26"/>
      <c r="H222" s="26" t="s">
        <v>44</v>
      </c>
      <c r="I222" s="45"/>
      <c r="J222" s="7" t="s">
        <v>714</v>
      </c>
      <c r="K222" s="7"/>
      <c r="L222" s="19"/>
      <c r="M222" s="41" t="s">
        <v>4</v>
      </c>
      <c r="N222" s="119"/>
      <c r="O222" s="26"/>
      <c r="P222" s="112" t="str">
        <f>IF(Tabela3[[#This Row],[RETIRADA APÓS CALIBRAÇÃO (STANDBY)]]="","",Tabela3[[#This Row],[RETIRADA APÓS CALIBRAÇÃO (STANDBY)]]+365)</f>
        <v/>
      </c>
    </row>
    <row r="223" spans="1:21" ht="54.95" customHeight="1" x14ac:dyDescent="0.5">
      <c r="A223" s="39"/>
      <c r="B223" s="58" t="s">
        <v>724</v>
      </c>
      <c r="C223" s="27" t="s">
        <v>710</v>
      </c>
      <c r="D223" s="26" t="s">
        <v>725</v>
      </c>
      <c r="E223" s="26" t="s">
        <v>712</v>
      </c>
      <c r="F223" s="26" t="s">
        <v>726</v>
      </c>
      <c r="G223" s="26"/>
      <c r="H223" s="26" t="s">
        <v>44</v>
      </c>
      <c r="I223" s="45"/>
      <c r="J223" s="7" t="s">
        <v>714</v>
      </c>
      <c r="K223" s="26"/>
      <c r="L223" s="45"/>
      <c r="M223" s="41" t="s">
        <v>4</v>
      </c>
      <c r="N223" s="119"/>
      <c r="O223" s="26"/>
      <c r="P223" s="112" t="str">
        <f>IF(Tabela3[[#This Row],[RETIRADA APÓS CALIBRAÇÃO (STANDBY)]]="","",Tabela3[[#This Row],[RETIRADA APÓS CALIBRAÇÃO (STANDBY)]]+365)</f>
        <v/>
      </c>
    </row>
    <row r="224" spans="1:21" ht="54.95" customHeight="1" x14ac:dyDescent="0.5">
      <c r="A224" s="39"/>
      <c r="B224" s="58" t="s">
        <v>727</v>
      </c>
      <c r="C224" s="27" t="s">
        <v>710</v>
      </c>
      <c r="D224" s="26" t="s">
        <v>722</v>
      </c>
      <c r="E224" s="26" t="s">
        <v>712</v>
      </c>
      <c r="F224" s="26" t="s">
        <v>728</v>
      </c>
      <c r="G224" s="26"/>
      <c r="H224" s="26" t="s">
        <v>44</v>
      </c>
      <c r="I224" s="45"/>
      <c r="J224" s="7" t="s">
        <v>714</v>
      </c>
      <c r="K224" s="26"/>
      <c r="L224" s="45"/>
      <c r="M224" s="41" t="s">
        <v>4</v>
      </c>
      <c r="N224" s="119"/>
      <c r="O224" s="26"/>
      <c r="P224" s="112" t="str">
        <f>IF(Tabela3[[#This Row],[RETIRADA APÓS CALIBRAÇÃO (STANDBY)]]="","",Tabela3[[#This Row],[RETIRADA APÓS CALIBRAÇÃO (STANDBY)]]+365)</f>
        <v/>
      </c>
    </row>
    <row r="225" spans="1:16" ht="54.95" customHeight="1" x14ac:dyDescent="0.5">
      <c r="A225" s="39"/>
      <c r="B225" s="58" t="s">
        <v>729</v>
      </c>
      <c r="C225" s="27" t="s">
        <v>710</v>
      </c>
      <c r="D225" s="26" t="s">
        <v>730</v>
      </c>
      <c r="E225" s="26" t="s">
        <v>712</v>
      </c>
      <c r="F225" s="26" t="s">
        <v>731</v>
      </c>
      <c r="G225" s="26"/>
      <c r="H225" s="26" t="s">
        <v>44</v>
      </c>
      <c r="I225" s="45"/>
      <c r="J225" s="7" t="s">
        <v>714</v>
      </c>
      <c r="K225" s="26"/>
      <c r="L225" s="45"/>
      <c r="M225" s="41" t="s">
        <v>4</v>
      </c>
      <c r="N225" s="119"/>
      <c r="O225" s="26"/>
      <c r="P225" s="112" t="str">
        <f>IF(Tabela3[[#This Row],[RETIRADA APÓS CALIBRAÇÃO (STANDBY)]]="","",Tabela3[[#This Row],[RETIRADA APÓS CALIBRAÇÃO (STANDBY)]]+365)</f>
        <v/>
      </c>
    </row>
    <row r="226" spans="1:16" ht="54.95" customHeight="1" x14ac:dyDescent="0.5">
      <c r="A226" s="39"/>
      <c r="B226" s="58" t="s">
        <v>732</v>
      </c>
      <c r="C226" s="27" t="s">
        <v>733</v>
      </c>
      <c r="D226" s="26" t="s">
        <v>734</v>
      </c>
      <c r="E226" s="26" t="s">
        <v>712</v>
      </c>
      <c r="F226" s="26" t="s">
        <v>735</v>
      </c>
      <c r="G226" s="26"/>
      <c r="H226" s="26" t="s">
        <v>44</v>
      </c>
      <c r="I226" s="45"/>
      <c r="J226" s="7" t="s">
        <v>714</v>
      </c>
      <c r="K226" s="26"/>
      <c r="L226" s="45"/>
      <c r="M226" s="41" t="s">
        <v>4</v>
      </c>
      <c r="N226" s="119"/>
      <c r="O226" s="26"/>
      <c r="P226" s="112" t="str">
        <f>IF(Tabela3[[#This Row],[RETIRADA APÓS CALIBRAÇÃO (STANDBY)]]="","",Tabela3[[#This Row],[RETIRADA APÓS CALIBRAÇÃO (STANDBY)]]+365)</f>
        <v/>
      </c>
    </row>
    <row r="227" spans="1:16" ht="54.95" customHeight="1" x14ac:dyDescent="0.5">
      <c r="A227" s="39"/>
      <c r="B227" s="58" t="s">
        <v>736</v>
      </c>
      <c r="C227" s="27" t="s">
        <v>733</v>
      </c>
      <c r="D227" s="26" t="s">
        <v>737</v>
      </c>
      <c r="E227" s="26" t="s">
        <v>712</v>
      </c>
      <c r="F227" s="26" t="s">
        <v>738</v>
      </c>
      <c r="G227" s="26"/>
      <c r="H227" s="26" t="s">
        <v>44</v>
      </c>
      <c r="I227" s="45"/>
      <c r="J227" s="7" t="s">
        <v>714</v>
      </c>
      <c r="K227" s="26"/>
      <c r="L227" s="45"/>
      <c r="M227" s="41" t="s">
        <v>4</v>
      </c>
      <c r="N227" s="119"/>
      <c r="O227" s="26"/>
      <c r="P227" s="112" t="str">
        <f>IF(Tabela3[[#This Row],[RETIRADA APÓS CALIBRAÇÃO (STANDBY)]]="","",Tabela3[[#This Row],[RETIRADA APÓS CALIBRAÇÃO (STANDBY)]]+365)</f>
        <v/>
      </c>
    </row>
    <row r="228" spans="1:16" ht="54.95" customHeight="1" x14ac:dyDescent="0.5">
      <c r="A228" s="39"/>
      <c r="B228" s="58" t="s">
        <v>739</v>
      </c>
      <c r="C228" s="27" t="s">
        <v>733</v>
      </c>
      <c r="D228" s="26" t="s">
        <v>737</v>
      </c>
      <c r="E228" s="26" t="s">
        <v>712</v>
      </c>
      <c r="F228" s="26" t="s">
        <v>740</v>
      </c>
      <c r="G228" s="26"/>
      <c r="H228" s="26" t="s">
        <v>44</v>
      </c>
      <c r="I228" s="45"/>
      <c r="J228" s="7" t="s">
        <v>714</v>
      </c>
      <c r="K228" s="26"/>
      <c r="L228" s="45"/>
      <c r="M228" s="41" t="s">
        <v>4</v>
      </c>
      <c r="N228" s="119"/>
      <c r="O228" s="26"/>
      <c r="P228" s="112" t="str">
        <f>IF(Tabela3[[#This Row],[RETIRADA APÓS CALIBRAÇÃO (STANDBY)]]="","",Tabela3[[#This Row],[RETIRADA APÓS CALIBRAÇÃO (STANDBY)]]+365)</f>
        <v/>
      </c>
    </row>
    <row r="229" spans="1:16" ht="54.95" customHeight="1" x14ac:dyDescent="0.5">
      <c r="A229" s="39"/>
      <c r="B229" s="58" t="s">
        <v>741</v>
      </c>
      <c r="C229" s="27" t="s">
        <v>733</v>
      </c>
      <c r="D229" s="26" t="s">
        <v>742</v>
      </c>
      <c r="E229" s="26" t="s">
        <v>712</v>
      </c>
      <c r="F229" s="26" t="s">
        <v>743</v>
      </c>
      <c r="G229" s="26"/>
      <c r="H229" s="26" t="s">
        <v>44</v>
      </c>
      <c r="I229" s="45"/>
      <c r="J229" s="7" t="s">
        <v>714</v>
      </c>
      <c r="K229" s="26"/>
      <c r="L229" s="45"/>
      <c r="M229" s="41" t="s">
        <v>4</v>
      </c>
      <c r="N229" s="119"/>
      <c r="O229" s="26"/>
      <c r="P229" s="112" t="str">
        <f>IF(Tabela3[[#This Row],[RETIRADA APÓS CALIBRAÇÃO (STANDBY)]]="","",Tabela3[[#This Row],[RETIRADA APÓS CALIBRAÇÃO (STANDBY)]]+365)</f>
        <v/>
      </c>
    </row>
    <row r="230" spans="1:16" ht="54.95" customHeight="1" x14ac:dyDescent="0.5">
      <c r="A230" s="39"/>
      <c r="B230" s="58" t="s">
        <v>744</v>
      </c>
      <c r="C230" s="27" t="s">
        <v>733</v>
      </c>
      <c r="D230" s="26" t="s">
        <v>745</v>
      </c>
      <c r="E230" s="26" t="s">
        <v>712</v>
      </c>
      <c r="F230" s="26" t="s">
        <v>746</v>
      </c>
      <c r="G230" s="26"/>
      <c r="H230" s="26" t="s">
        <v>44</v>
      </c>
      <c r="I230" s="45"/>
      <c r="J230" s="7" t="s">
        <v>714</v>
      </c>
      <c r="K230" s="26"/>
      <c r="L230" s="45"/>
      <c r="M230" s="41" t="s">
        <v>4</v>
      </c>
      <c r="N230" s="119"/>
      <c r="O230" s="26"/>
      <c r="P230" s="112" t="str">
        <f>IF(Tabela3[[#This Row],[RETIRADA APÓS CALIBRAÇÃO (STANDBY)]]="","",Tabela3[[#This Row],[RETIRADA APÓS CALIBRAÇÃO (STANDBY)]]+365)</f>
        <v/>
      </c>
    </row>
    <row r="231" spans="1:16" ht="54.95" customHeight="1" x14ac:dyDescent="0.5">
      <c r="A231" s="39"/>
      <c r="B231" s="58" t="s">
        <v>747</v>
      </c>
      <c r="C231" s="27" t="s">
        <v>733</v>
      </c>
      <c r="D231" s="26" t="s">
        <v>748</v>
      </c>
      <c r="E231" s="26" t="s">
        <v>712</v>
      </c>
      <c r="F231" s="26" t="s">
        <v>749</v>
      </c>
      <c r="G231" s="26"/>
      <c r="H231" s="26" t="s">
        <v>44</v>
      </c>
      <c r="I231" s="45"/>
      <c r="J231" s="7" t="s">
        <v>714</v>
      </c>
      <c r="K231" s="26"/>
      <c r="L231" s="45"/>
      <c r="M231" s="41" t="s">
        <v>4</v>
      </c>
      <c r="N231" s="119"/>
      <c r="O231" s="26"/>
      <c r="P231" s="112" t="str">
        <f>IF(Tabela3[[#This Row],[RETIRADA APÓS CALIBRAÇÃO (STANDBY)]]="","",Tabela3[[#This Row],[RETIRADA APÓS CALIBRAÇÃO (STANDBY)]]+365)</f>
        <v/>
      </c>
    </row>
    <row r="232" spans="1:16" ht="54.95" customHeight="1" x14ac:dyDescent="0.5">
      <c r="A232" s="39"/>
      <c r="B232" s="58" t="s">
        <v>750</v>
      </c>
      <c r="C232" s="27" t="s">
        <v>733</v>
      </c>
      <c r="D232" s="26" t="s">
        <v>751</v>
      </c>
      <c r="E232" s="26" t="s">
        <v>712</v>
      </c>
      <c r="F232" s="26" t="s">
        <v>752</v>
      </c>
      <c r="G232" s="26"/>
      <c r="H232" s="26" t="s">
        <v>44</v>
      </c>
      <c r="I232" s="45"/>
      <c r="J232" s="7" t="s">
        <v>714</v>
      </c>
      <c r="K232" s="26"/>
      <c r="L232" s="45"/>
      <c r="M232" s="41" t="s">
        <v>4</v>
      </c>
      <c r="N232" s="119"/>
      <c r="O232" s="26"/>
      <c r="P232" s="112" t="str">
        <f>IF(Tabela3[[#This Row],[RETIRADA APÓS CALIBRAÇÃO (STANDBY)]]="","",Tabela3[[#This Row],[RETIRADA APÓS CALIBRAÇÃO (STANDBY)]]+365)</f>
        <v/>
      </c>
    </row>
    <row r="233" spans="1:16" ht="54.95" customHeight="1" x14ac:dyDescent="0.5">
      <c r="A233" s="39"/>
      <c r="B233" s="58" t="s">
        <v>753</v>
      </c>
      <c r="C233" s="27" t="s">
        <v>733</v>
      </c>
      <c r="D233" s="26" t="s">
        <v>754</v>
      </c>
      <c r="E233" s="26" t="s">
        <v>712</v>
      </c>
      <c r="F233" s="26" t="s">
        <v>755</v>
      </c>
      <c r="G233" s="26"/>
      <c r="H233" s="26" t="s">
        <v>44</v>
      </c>
      <c r="I233" s="45"/>
      <c r="J233" s="7" t="s">
        <v>714</v>
      </c>
      <c r="K233" s="26"/>
      <c r="L233" s="45"/>
      <c r="M233" s="41" t="s">
        <v>4</v>
      </c>
      <c r="N233" s="119"/>
      <c r="O233" s="26"/>
      <c r="P233" s="112" t="str">
        <f>IF(Tabela3[[#This Row],[RETIRADA APÓS CALIBRAÇÃO (STANDBY)]]="","",Tabela3[[#This Row],[RETIRADA APÓS CALIBRAÇÃO (STANDBY)]]+365)</f>
        <v/>
      </c>
    </row>
    <row r="234" spans="1:16" ht="54.95" customHeight="1" x14ac:dyDescent="0.5">
      <c r="A234" s="39"/>
      <c r="B234" s="58" t="s">
        <v>756</v>
      </c>
      <c r="C234" s="27" t="s">
        <v>733</v>
      </c>
      <c r="D234" s="26" t="s">
        <v>757</v>
      </c>
      <c r="E234" s="26" t="s">
        <v>712</v>
      </c>
      <c r="F234" s="26" t="s">
        <v>758</v>
      </c>
      <c r="G234" s="26"/>
      <c r="H234" s="26" t="s">
        <v>44</v>
      </c>
      <c r="I234" s="45"/>
      <c r="J234" s="7" t="s">
        <v>714</v>
      </c>
      <c r="K234" s="26"/>
      <c r="L234" s="45"/>
      <c r="M234" s="41" t="s">
        <v>4</v>
      </c>
      <c r="N234" s="119"/>
      <c r="O234" s="26"/>
      <c r="P234" s="112" t="str">
        <f>IF(Tabela3[[#This Row],[RETIRADA APÓS CALIBRAÇÃO (STANDBY)]]="","",Tabela3[[#This Row],[RETIRADA APÓS CALIBRAÇÃO (STANDBY)]]+365)</f>
        <v/>
      </c>
    </row>
    <row r="235" spans="1:16" ht="54.95" customHeight="1" x14ac:dyDescent="0.5">
      <c r="A235" s="39"/>
      <c r="B235" s="58" t="s">
        <v>759</v>
      </c>
      <c r="C235" s="27" t="s">
        <v>733</v>
      </c>
      <c r="D235" s="26" t="s">
        <v>760</v>
      </c>
      <c r="E235" s="26" t="s">
        <v>712</v>
      </c>
      <c r="F235" s="26" t="s">
        <v>761</v>
      </c>
      <c r="G235" s="26"/>
      <c r="H235" s="26" t="s">
        <v>44</v>
      </c>
      <c r="I235" s="45"/>
      <c r="J235" s="7" t="s">
        <v>714</v>
      </c>
      <c r="K235" s="26"/>
      <c r="L235" s="45"/>
      <c r="M235" s="41" t="s">
        <v>4</v>
      </c>
      <c r="N235" s="119"/>
      <c r="O235" s="26"/>
      <c r="P235" s="112" t="str">
        <f>IF(Tabela3[[#This Row],[RETIRADA APÓS CALIBRAÇÃO (STANDBY)]]="","",Tabela3[[#This Row],[RETIRADA APÓS CALIBRAÇÃO (STANDBY)]]+365)</f>
        <v/>
      </c>
    </row>
    <row r="236" spans="1:16" ht="54.95" customHeight="1" x14ac:dyDescent="0.5">
      <c r="A236" s="39"/>
      <c r="B236" s="58" t="s">
        <v>762</v>
      </c>
      <c r="C236" s="27" t="s">
        <v>733</v>
      </c>
      <c r="D236" s="26" t="s">
        <v>763</v>
      </c>
      <c r="E236" s="26" t="s">
        <v>712</v>
      </c>
      <c r="F236" s="26" t="s">
        <v>764</v>
      </c>
      <c r="G236" s="26"/>
      <c r="H236" s="26" t="s">
        <v>44</v>
      </c>
      <c r="I236" s="45"/>
      <c r="J236" s="26" t="s">
        <v>714</v>
      </c>
      <c r="K236" s="26"/>
      <c r="L236" s="45"/>
      <c r="M236" s="46" t="s">
        <v>4</v>
      </c>
      <c r="N236" s="119"/>
      <c r="O236" s="26"/>
      <c r="P236" s="112" t="str">
        <f>IF(Tabela3[[#This Row],[RETIRADA APÓS CALIBRAÇÃO (STANDBY)]]="","",Tabela3[[#This Row],[RETIRADA APÓS CALIBRAÇÃO (STANDBY)]]+365)</f>
        <v/>
      </c>
    </row>
    <row r="237" spans="1:16" ht="54.95" customHeight="1" x14ac:dyDescent="0.5">
      <c r="A237" s="39"/>
      <c r="B237" s="58" t="s">
        <v>765</v>
      </c>
      <c r="C237" s="29" t="s">
        <v>766</v>
      </c>
      <c r="D237" s="30" t="s">
        <v>767</v>
      </c>
      <c r="E237" s="30"/>
      <c r="F237" s="30"/>
      <c r="G237" s="30"/>
      <c r="H237" s="62" t="s">
        <v>44</v>
      </c>
      <c r="I237" s="46"/>
      <c r="J237" s="31" t="s">
        <v>334</v>
      </c>
      <c r="K237" s="31"/>
      <c r="L237" s="46"/>
      <c r="M237" s="46" t="s">
        <v>4</v>
      </c>
      <c r="N237" s="119"/>
      <c r="O237" s="37"/>
      <c r="P237" s="112" t="str">
        <f>IF(Tabela3[[#This Row],[RETIRADA APÓS CALIBRAÇÃO (STANDBY)]]="","",Tabela3[[#This Row],[RETIRADA APÓS CALIBRAÇÃO (STANDBY)]]+365)</f>
        <v/>
      </c>
    </row>
    <row r="238" spans="1:16" ht="54.95" customHeight="1" x14ac:dyDescent="0.5">
      <c r="A238" s="39"/>
      <c r="B238" s="99" t="s">
        <v>768</v>
      </c>
      <c r="C238" s="27" t="s">
        <v>769</v>
      </c>
      <c r="D238" s="45" t="s">
        <v>770</v>
      </c>
      <c r="E238" s="26" t="s">
        <v>771</v>
      </c>
      <c r="F238" s="26">
        <v>2401003600</v>
      </c>
      <c r="G238" s="26"/>
      <c r="H238" s="26" t="s">
        <v>11</v>
      </c>
      <c r="I238" s="45"/>
      <c r="J238" s="26" t="s">
        <v>129</v>
      </c>
      <c r="K238" s="26" t="s">
        <v>772</v>
      </c>
      <c r="L238" s="45" t="s">
        <v>128</v>
      </c>
      <c r="M238" s="45" t="s">
        <v>4</v>
      </c>
      <c r="N238" s="120"/>
      <c r="O238" s="37" t="s">
        <v>128</v>
      </c>
      <c r="P238" s="112" t="e">
        <f>IF(Tabela3[[#This Row],[RETIRADA APÓS CALIBRAÇÃO (STANDBY)]]="","",Tabela3[[#This Row],[RETIRADA APÓS CALIBRAÇÃO (STANDBY)]]+365)</f>
        <v>#VALUE!</v>
      </c>
    </row>
    <row r="239" spans="1:16" ht="54.95" customHeight="1" x14ac:dyDescent="0.5">
      <c r="A239" s="39"/>
      <c r="B239" s="96" t="s">
        <v>773</v>
      </c>
      <c r="C239" s="27" t="s">
        <v>774</v>
      </c>
      <c r="D239" s="26" t="s">
        <v>775</v>
      </c>
      <c r="E239" s="26"/>
      <c r="F239" s="26" t="s">
        <v>776</v>
      </c>
      <c r="G239" s="26"/>
      <c r="H239" s="26" t="s">
        <v>44</v>
      </c>
      <c r="I239" s="45"/>
      <c r="J239" s="26" t="s">
        <v>536</v>
      </c>
      <c r="K239" s="26"/>
      <c r="L239" s="45"/>
      <c r="M239" s="45" t="s">
        <v>4</v>
      </c>
      <c r="N239" s="120"/>
      <c r="O239" s="26"/>
      <c r="P239" s="112" t="str">
        <f>IF(Tabela3[[#This Row],[RETIRADA APÓS CALIBRAÇÃO (STANDBY)]]="","",Tabela3[[#This Row],[RETIRADA APÓS CALIBRAÇÃO (STANDBY)]]+365)</f>
        <v/>
      </c>
    </row>
    <row r="240" spans="1:16" ht="54.95" customHeight="1" x14ac:dyDescent="0.5">
      <c r="A240" s="39"/>
      <c r="B240" s="96" t="s">
        <v>777</v>
      </c>
      <c r="C240" s="27" t="s">
        <v>774</v>
      </c>
      <c r="D240" s="26" t="s">
        <v>778</v>
      </c>
      <c r="E240" s="26"/>
      <c r="F240" s="26" t="s">
        <v>779</v>
      </c>
      <c r="G240" s="26"/>
      <c r="H240" s="26" t="s">
        <v>44</v>
      </c>
      <c r="I240" s="45"/>
      <c r="J240" s="26" t="s">
        <v>536</v>
      </c>
      <c r="K240" s="26"/>
      <c r="L240" s="45"/>
      <c r="M240" s="45" t="s">
        <v>4</v>
      </c>
      <c r="N240" s="120"/>
      <c r="O240" s="26"/>
      <c r="P240" s="112" t="str">
        <f>IF(Tabela3[[#This Row],[RETIRADA APÓS CALIBRAÇÃO (STANDBY)]]="","",Tabela3[[#This Row],[RETIRADA APÓS CALIBRAÇÃO (STANDBY)]]+365)</f>
        <v/>
      </c>
    </row>
    <row r="241" spans="1:16" ht="54.95" customHeight="1" x14ac:dyDescent="0.5">
      <c r="A241" s="39"/>
      <c r="B241" s="96" t="s">
        <v>780</v>
      </c>
      <c r="C241" s="27" t="s">
        <v>774</v>
      </c>
      <c r="D241" s="26" t="s">
        <v>781</v>
      </c>
      <c r="E241" s="26"/>
      <c r="F241" s="26" t="s">
        <v>782</v>
      </c>
      <c r="G241" s="26"/>
      <c r="H241" s="26" t="s">
        <v>44</v>
      </c>
      <c r="I241" s="45"/>
      <c r="J241" s="26" t="s">
        <v>536</v>
      </c>
      <c r="K241" s="26"/>
      <c r="L241" s="45"/>
      <c r="M241" s="45" t="s">
        <v>4</v>
      </c>
      <c r="N241" s="120"/>
      <c r="O241" s="26"/>
      <c r="P241" s="112" t="str">
        <f>IF(Tabela3[[#This Row],[RETIRADA APÓS CALIBRAÇÃO (STANDBY)]]="","",Tabela3[[#This Row],[RETIRADA APÓS CALIBRAÇÃO (STANDBY)]]+365)</f>
        <v/>
      </c>
    </row>
    <row r="242" spans="1:16" ht="54.95" customHeight="1" x14ac:dyDescent="0.5">
      <c r="A242" s="39"/>
      <c r="B242" s="96" t="s">
        <v>783</v>
      </c>
      <c r="C242" s="27" t="s">
        <v>774</v>
      </c>
      <c r="D242" s="26" t="s">
        <v>784</v>
      </c>
      <c r="E242" s="26"/>
      <c r="F242" s="26" t="s">
        <v>785</v>
      </c>
      <c r="G242" s="26"/>
      <c r="H242" s="26" t="s">
        <v>44</v>
      </c>
      <c r="I242" s="45"/>
      <c r="J242" s="26" t="s">
        <v>536</v>
      </c>
      <c r="K242" s="26"/>
      <c r="L242" s="45"/>
      <c r="M242" s="45" t="s">
        <v>4</v>
      </c>
      <c r="N242" s="120"/>
      <c r="O242" s="26"/>
      <c r="P242" s="112" t="str">
        <f>IF(Tabela3[[#This Row],[RETIRADA APÓS CALIBRAÇÃO (STANDBY)]]="","",Tabela3[[#This Row],[RETIRADA APÓS CALIBRAÇÃO (STANDBY)]]+365)</f>
        <v/>
      </c>
    </row>
    <row r="243" spans="1:16" ht="54.95" customHeight="1" x14ac:dyDescent="0.5">
      <c r="A243" s="39"/>
      <c r="B243" s="96" t="s">
        <v>786</v>
      </c>
      <c r="C243" s="27" t="s">
        <v>787</v>
      </c>
      <c r="D243" s="45" t="s">
        <v>788</v>
      </c>
      <c r="E243" s="26" t="s">
        <v>789</v>
      </c>
      <c r="F243" s="26">
        <v>400300</v>
      </c>
      <c r="G243" s="26"/>
      <c r="H243" s="26" t="s">
        <v>44</v>
      </c>
      <c r="I243" s="45"/>
      <c r="J243" s="26" t="s">
        <v>118</v>
      </c>
      <c r="K243" s="26"/>
      <c r="L243" s="45"/>
      <c r="M243" s="45" t="s">
        <v>4</v>
      </c>
      <c r="N243" s="120"/>
      <c r="O243" s="26"/>
      <c r="P243" s="112" t="str">
        <f>IF(Tabela3[[#This Row],[RETIRADA APÓS CALIBRAÇÃO (STANDBY)]]="","",Tabela3[[#This Row],[RETIRADA APÓS CALIBRAÇÃO (STANDBY)]]+365)</f>
        <v/>
      </c>
    </row>
    <row r="244" spans="1:16" ht="54.95" customHeight="1" x14ac:dyDescent="0.5">
      <c r="A244" s="39"/>
      <c r="B244" s="48" t="s">
        <v>790</v>
      </c>
      <c r="C244" s="27" t="s">
        <v>791</v>
      </c>
      <c r="D244" s="26" t="s">
        <v>792</v>
      </c>
      <c r="E244" s="26" t="s">
        <v>491</v>
      </c>
      <c r="F244" s="26"/>
      <c r="G244" s="26" t="s">
        <v>570</v>
      </c>
      <c r="H244" s="26" t="s">
        <v>15</v>
      </c>
      <c r="I244" s="45"/>
      <c r="J244" s="26" t="s">
        <v>118</v>
      </c>
      <c r="K244" s="26"/>
      <c r="L244" s="45" t="s">
        <v>793</v>
      </c>
      <c r="M244" s="45" t="s">
        <v>1</v>
      </c>
      <c r="N244" s="37">
        <v>46056</v>
      </c>
      <c r="O244" s="37">
        <v>46056</v>
      </c>
      <c r="P244" s="112">
        <f>IF(Tabela3[[#This Row],[RETIRADA APÓS CALIBRAÇÃO (STANDBY)]]="","",Tabela3[[#This Row],[RETIRADA APÓS CALIBRAÇÃO (STANDBY)]]+365)</f>
        <v>46421</v>
      </c>
    </row>
    <row r="245" spans="1:16" ht="54.75" customHeight="1" x14ac:dyDescent="0.5">
      <c r="A245" s="39"/>
      <c r="B245" s="150" t="s">
        <v>794</v>
      </c>
      <c r="C245" s="27" t="s">
        <v>791</v>
      </c>
      <c r="D245" s="26" t="s">
        <v>791</v>
      </c>
      <c r="E245" s="26" t="s">
        <v>491</v>
      </c>
      <c r="F245" s="26" t="s">
        <v>795</v>
      </c>
      <c r="G245" s="26" t="s">
        <v>796</v>
      </c>
      <c r="H245" s="26" t="s">
        <v>44</v>
      </c>
      <c r="I245" s="40" t="s">
        <v>1292</v>
      </c>
      <c r="J245" s="26" t="s">
        <v>129</v>
      </c>
      <c r="K245" s="26" t="s">
        <v>797</v>
      </c>
      <c r="L245" s="45"/>
      <c r="M245" s="45" t="s">
        <v>3</v>
      </c>
      <c r="N245" s="120"/>
      <c r="O245" s="26"/>
      <c r="P245" s="112" t="str">
        <f>IF(Tabela3[[#This Row],[RETIRADA APÓS CALIBRAÇÃO (STANDBY)]]="","",Tabela3[[#This Row],[RETIRADA APÓS CALIBRAÇÃO (STANDBY)]]+365)</f>
        <v/>
      </c>
    </row>
    <row r="246" spans="1:16" ht="54.75" customHeight="1" x14ac:dyDescent="0.5">
      <c r="A246" s="39"/>
      <c r="B246" s="150" t="s">
        <v>798</v>
      </c>
      <c r="C246" s="27" t="s">
        <v>799</v>
      </c>
      <c r="D246" s="26" t="s">
        <v>800</v>
      </c>
      <c r="E246" s="26" t="s">
        <v>491</v>
      </c>
      <c r="F246" s="26" t="s">
        <v>801</v>
      </c>
      <c r="G246" s="26" t="s">
        <v>796</v>
      </c>
      <c r="H246" s="26"/>
      <c r="I246" s="40" t="s">
        <v>1292</v>
      </c>
      <c r="J246" s="26"/>
      <c r="K246" s="26"/>
      <c r="L246" s="45" t="s">
        <v>802</v>
      </c>
      <c r="M246" s="45" t="s">
        <v>3</v>
      </c>
      <c r="N246" s="37">
        <v>45798</v>
      </c>
      <c r="O246" s="37">
        <v>45798</v>
      </c>
      <c r="P246" s="112">
        <f>IF(Tabela3[[#This Row],[RETIRADA APÓS CALIBRAÇÃO (STANDBY)]]="","",Tabela3[[#This Row],[RETIRADA APÓS CALIBRAÇÃO (STANDBY)]]+365)</f>
        <v>46163</v>
      </c>
    </row>
    <row r="247" spans="1:16" ht="120" x14ac:dyDescent="0.5">
      <c r="A247" s="39"/>
      <c r="B247" s="150" t="s">
        <v>803</v>
      </c>
      <c r="C247" s="27" t="s">
        <v>799</v>
      </c>
      <c r="D247" s="26" t="s">
        <v>804</v>
      </c>
      <c r="E247" s="26" t="s">
        <v>491</v>
      </c>
      <c r="F247" s="26" t="s">
        <v>805</v>
      </c>
      <c r="G247" s="26" t="s">
        <v>570</v>
      </c>
      <c r="H247" s="26" t="s">
        <v>44</v>
      </c>
      <c r="I247" s="40" t="s">
        <v>1292</v>
      </c>
      <c r="J247" s="26" t="s">
        <v>806</v>
      </c>
      <c r="K247" s="26"/>
      <c r="L247" s="45"/>
      <c r="M247" s="45" t="s">
        <v>3</v>
      </c>
      <c r="N247" s="120"/>
      <c r="O247" s="26"/>
      <c r="P247" s="112" t="str">
        <f>IF(Tabela3[[#This Row],[RETIRADA APÓS CALIBRAÇÃO (STANDBY)]]="","",Tabela3[[#This Row],[RETIRADA APÓS CALIBRAÇÃO (STANDBY)]]+365)</f>
        <v/>
      </c>
    </row>
    <row r="248" spans="1:16" ht="54.95" customHeight="1" x14ac:dyDescent="0.5">
      <c r="A248" s="39"/>
      <c r="B248" s="48" t="s">
        <v>807</v>
      </c>
      <c r="C248" s="27" t="s">
        <v>799</v>
      </c>
      <c r="D248" s="26" t="s">
        <v>800</v>
      </c>
      <c r="E248" s="26" t="s">
        <v>491</v>
      </c>
      <c r="F248" s="26" t="s">
        <v>808</v>
      </c>
      <c r="G248" s="26" t="s">
        <v>796</v>
      </c>
      <c r="H248" s="26"/>
      <c r="I248" s="46"/>
      <c r="J248" s="26"/>
      <c r="K248" s="26"/>
      <c r="L248" s="45" t="s">
        <v>1258</v>
      </c>
      <c r="M248" s="45" t="s">
        <v>1</v>
      </c>
      <c r="N248" s="37">
        <v>46182</v>
      </c>
      <c r="O248" s="37">
        <v>46213</v>
      </c>
      <c r="P248" s="112">
        <f>IF(Tabela3[[#This Row],[RETIRADA APÓS CALIBRAÇÃO (STANDBY)]]="","",Tabela3[[#This Row],[RETIRADA APÓS CALIBRAÇÃO (STANDBY)]]+365)</f>
        <v>46578</v>
      </c>
    </row>
    <row r="249" spans="1:16" ht="54.95" customHeight="1" x14ac:dyDescent="0.5">
      <c r="A249" s="39"/>
      <c r="B249" s="34" t="s">
        <v>809</v>
      </c>
      <c r="C249" s="27" t="s">
        <v>799</v>
      </c>
      <c r="D249" s="26" t="s">
        <v>810</v>
      </c>
      <c r="E249" s="26" t="s">
        <v>491</v>
      </c>
      <c r="F249" s="26" t="s">
        <v>811</v>
      </c>
      <c r="G249" s="26" t="s">
        <v>570</v>
      </c>
      <c r="H249" s="26"/>
      <c r="I249" s="45" t="s">
        <v>1279</v>
      </c>
      <c r="J249" s="26"/>
      <c r="K249" s="26"/>
      <c r="L249" s="45"/>
      <c r="M249" s="45" t="s">
        <v>2</v>
      </c>
      <c r="N249" s="120"/>
      <c r="O249" s="26"/>
      <c r="P249" s="112" t="str">
        <f>IF(Tabela3[[#This Row],[RETIRADA APÓS CALIBRAÇÃO (STANDBY)]]="","",Tabela3[[#This Row],[RETIRADA APÓS CALIBRAÇÃO (STANDBY)]]+365)</f>
        <v/>
      </c>
    </row>
    <row r="250" spans="1:16" ht="54.95" customHeight="1" x14ac:dyDescent="0.5">
      <c r="A250" s="39"/>
      <c r="B250" s="150" t="s">
        <v>812</v>
      </c>
      <c r="C250" s="27" t="s">
        <v>799</v>
      </c>
      <c r="D250" s="26" t="s">
        <v>804</v>
      </c>
      <c r="E250" s="26" t="s">
        <v>491</v>
      </c>
      <c r="F250" s="26" t="s">
        <v>813</v>
      </c>
      <c r="G250" s="26" t="s">
        <v>570</v>
      </c>
      <c r="H250" s="26" t="s">
        <v>44</v>
      </c>
      <c r="I250" s="40" t="s">
        <v>1292</v>
      </c>
      <c r="J250" s="26" t="s">
        <v>806</v>
      </c>
      <c r="K250" s="26"/>
      <c r="L250" s="45"/>
      <c r="M250" s="45" t="s">
        <v>3</v>
      </c>
      <c r="N250" s="120"/>
      <c r="O250" s="26"/>
      <c r="P250" s="112" t="str">
        <f>IF(Tabela3[[#This Row],[RETIRADA APÓS CALIBRAÇÃO (STANDBY)]]="","",Tabela3[[#This Row],[RETIRADA APÓS CALIBRAÇÃO (STANDBY)]]+365)</f>
        <v/>
      </c>
    </row>
    <row r="251" spans="1:16" ht="54.95" customHeight="1" x14ac:dyDescent="0.5">
      <c r="A251" s="39"/>
      <c r="B251" s="28" t="s">
        <v>814</v>
      </c>
      <c r="C251" s="4" t="s">
        <v>799</v>
      </c>
      <c r="D251" s="4" t="s">
        <v>815</v>
      </c>
      <c r="E251" s="4" t="s">
        <v>491</v>
      </c>
      <c r="F251" s="4" t="s">
        <v>816</v>
      </c>
      <c r="G251" s="7" t="s">
        <v>570</v>
      </c>
      <c r="H251" s="9" t="s">
        <v>44</v>
      </c>
      <c r="I251" s="41" t="s">
        <v>817</v>
      </c>
      <c r="J251" s="5" t="s">
        <v>818</v>
      </c>
      <c r="K251" s="5"/>
      <c r="L251" s="41" t="s">
        <v>819</v>
      </c>
      <c r="M251" s="41" t="s">
        <v>1</v>
      </c>
      <c r="N251" s="6">
        <v>45922</v>
      </c>
      <c r="O251" s="6">
        <v>45922</v>
      </c>
      <c r="P251" s="112">
        <f>IF(Tabela3[[#This Row],[RETIRADA APÓS CALIBRAÇÃO (STANDBY)]]="","",Tabela3[[#This Row],[RETIRADA APÓS CALIBRAÇÃO (STANDBY)]]+365)</f>
        <v>46287</v>
      </c>
    </row>
    <row r="252" spans="1:16" ht="54.95" customHeight="1" x14ac:dyDescent="0.5">
      <c r="A252" s="39"/>
      <c r="B252" s="28" t="s">
        <v>820</v>
      </c>
      <c r="C252" s="27" t="s">
        <v>799</v>
      </c>
      <c r="D252" s="26" t="s">
        <v>821</v>
      </c>
      <c r="E252" s="26" t="s">
        <v>491</v>
      </c>
      <c r="F252" s="30" t="s">
        <v>822</v>
      </c>
      <c r="G252" s="26" t="s">
        <v>492</v>
      </c>
      <c r="H252" s="62" t="s">
        <v>44</v>
      </c>
      <c r="I252" s="46"/>
      <c r="J252" s="31" t="s">
        <v>806</v>
      </c>
      <c r="K252" s="31"/>
      <c r="L252" s="46" t="s">
        <v>823</v>
      </c>
      <c r="M252" s="46" t="s">
        <v>1</v>
      </c>
      <c r="N252" s="37">
        <v>45995</v>
      </c>
      <c r="O252" s="37">
        <v>45995</v>
      </c>
      <c r="P252" s="112">
        <f>IF(Tabela3[[#This Row],[RETIRADA APÓS CALIBRAÇÃO (STANDBY)]]="","",Tabela3[[#This Row],[RETIRADA APÓS CALIBRAÇÃO (STANDBY)]]+365)</f>
        <v>46360</v>
      </c>
    </row>
    <row r="253" spans="1:16" ht="54.95" customHeight="1" x14ac:dyDescent="0.5">
      <c r="A253" s="39"/>
      <c r="B253" s="28" t="s">
        <v>824</v>
      </c>
      <c r="C253" s="29" t="s">
        <v>799</v>
      </c>
      <c r="D253" s="30" t="s">
        <v>821</v>
      </c>
      <c r="E253" s="30" t="s">
        <v>491</v>
      </c>
      <c r="F253" s="30" t="s">
        <v>825</v>
      </c>
      <c r="G253" s="26" t="s">
        <v>796</v>
      </c>
      <c r="H253" s="62" t="s">
        <v>44</v>
      </c>
      <c r="I253" s="46"/>
      <c r="J253" s="31" t="s">
        <v>818</v>
      </c>
      <c r="K253" s="31"/>
      <c r="L253" s="46" t="s">
        <v>1323</v>
      </c>
      <c r="M253" s="46" t="s">
        <v>1</v>
      </c>
      <c r="N253" s="119">
        <v>46178</v>
      </c>
      <c r="O253" s="37">
        <v>46256</v>
      </c>
      <c r="P253" s="112">
        <f>IF(Tabela3[[#This Row],[RETIRADA APÓS CALIBRAÇÃO (STANDBY)]]="","",Tabela3[[#This Row],[RETIRADA APÓS CALIBRAÇÃO (STANDBY)]]+365)</f>
        <v>46621</v>
      </c>
    </row>
    <row r="254" spans="1:16" ht="54.95" customHeight="1" x14ac:dyDescent="0.5">
      <c r="A254" s="39"/>
      <c r="B254" s="150" t="s">
        <v>826</v>
      </c>
      <c r="C254" s="27" t="s">
        <v>799</v>
      </c>
      <c r="D254" s="26" t="s">
        <v>804</v>
      </c>
      <c r="E254" s="26" t="s">
        <v>491</v>
      </c>
      <c r="F254" s="26" t="s">
        <v>827</v>
      </c>
      <c r="G254" s="26" t="s">
        <v>570</v>
      </c>
      <c r="H254" s="26" t="s">
        <v>44</v>
      </c>
      <c r="I254" s="40" t="s">
        <v>1292</v>
      </c>
      <c r="J254" s="26" t="s">
        <v>806</v>
      </c>
      <c r="K254" s="26"/>
      <c r="L254" s="45"/>
      <c r="M254" s="45" t="s">
        <v>3</v>
      </c>
      <c r="N254" s="120"/>
      <c r="O254" s="26"/>
      <c r="P254" s="112" t="str">
        <f>IF(Tabela3[[#This Row],[RETIRADA APÓS CALIBRAÇÃO (STANDBY)]]="","",Tabela3[[#This Row],[RETIRADA APÓS CALIBRAÇÃO (STANDBY)]]+365)</f>
        <v/>
      </c>
    </row>
    <row r="255" spans="1:16" ht="54.95" customHeight="1" x14ac:dyDescent="0.5">
      <c r="A255" s="39"/>
      <c r="B255" s="34" t="s">
        <v>828</v>
      </c>
      <c r="C255" s="27" t="s">
        <v>799</v>
      </c>
      <c r="D255" s="26" t="s">
        <v>804</v>
      </c>
      <c r="E255" s="26" t="s">
        <v>491</v>
      </c>
      <c r="F255" s="26" t="s">
        <v>829</v>
      </c>
      <c r="G255" s="26" t="s">
        <v>570</v>
      </c>
      <c r="H255" s="26" t="s">
        <v>17</v>
      </c>
      <c r="I255" s="45" t="s">
        <v>830</v>
      </c>
      <c r="J255" s="26" t="s">
        <v>806</v>
      </c>
      <c r="K255" s="26" t="s">
        <v>831</v>
      </c>
      <c r="L255" s="45"/>
      <c r="M255" s="45" t="s">
        <v>2</v>
      </c>
      <c r="N255" s="120"/>
      <c r="O255" s="26"/>
      <c r="P255" s="112" t="str">
        <f>IF(Tabela3[[#This Row],[RETIRADA APÓS CALIBRAÇÃO (STANDBY)]]="","",Tabela3[[#This Row],[RETIRADA APÓS CALIBRAÇÃO (STANDBY)]]+365)</f>
        <v/>
      </c>
    </row>
    <row r="256" spans="1:16" ht="54.95" customHeight="1" x14ac:dyDescent="0.5">
      <c r="A256" s="39"/>
      <c r="B256" s="48" t="s">
        <v>832</v>
      </c>
      <c r="C256" s="29" t="s">
        <v>833</v>
      </c>
      <c r="D256" s="26" t="s">
        <v>804</v>
      </c>
      <c r="E256" s="30" t="s">
        <v>491</v>
      </c>
      <c r="F256" s="26" t="s">
        <v>834</v>
      </c>
      <c r="G256" s="26" t="s">
        <v>570</v>
      </c>
      <c r="H256" s="26"/>
      <c r="I256" s="45"/>
      <c r="J256" s="26" t="s">
        <v>806</v>
      </c>
      <c r="K256" s="26" t="s">
        <v>835</v>
      </c>
      <c r="L256" s="45" t="s">
        <v>836</v>
      </c>
      <c r="M256" s="45" t="s">
        <v>1</v>
      </c>
      <c r="N256" s="37">
        <v>46063</v>
      </c>
      <c r="O256" s="37">
        <v>46063</v>
      </c>
      <c r="P256" s="112">
        <f>IF(Tabela3[[#This Row],[RETIRADA APÓS CALIBRAÇÃO (STANDBY)]]="","",Tabela3[[#This Row],[RETIRADA APÓS CALIBRAÇÃO (STANDBY)]]+365)</f>
        <v>46428</v>
      </c>
    </row>
    <row r="257" spans="1:16" ht="54.95" customHeight="1" x14ac:dyDescent="0.5">
      <c r="A257" s="39"/>
      <c r="B257" s="48" t="s">
        <v>837</v>
      </c>
      <c r="C257" s="27" t="s">
        <v>799</v>
      </c>
      <c r="D257" s="26" t="s">
        <v>804</v>
      </c>
      <c r="E257" s="26" t="s">
        <v>491</v>
      </c>
      <c r="F257" s="26" t="s">
        <v>838</v>
      </c>
      <c r="G257" s="26" t="s">
        <v>570</v>
      </c>
      <c r="H257" s="26"/>
      <c r="I257" s="45"/>
      <c r="J257" s="26" t="s">
        <v>806</v>
      </c>
      <c r="K257" s="26"/>
      <c r="L257" s="45" t="s">
        <v>839</v>
      </c>
      <c r="M257" s="45" t="s">
        <v>1</v>
      </c>
      <c r="N257" s="37">
        <v>45995</v>
      </c>
      <c r="O257" s="37">
        <v>45995</v>
      </c>
      <c r="P257" s="112">
        <f>IF(Tabela3[[#This Row],[RETIRADA APÓS CALIBRAÇÃO (STANDBY)]]="","",Tabela3[[#This Row],[RETIRADA APÓS CALIBRAÇÃO (STANDBY)]]+365)</f>
        <v>46360</v>
      </c>
    </row>
    <row r="258" spans="1:16" ht="54.95" customHeight="1" x14ac:dyDescent="0.5">
      <c r="A258" s="39"/>
      <c r="B258" s="34" t="s">
        <v>840</v>
      </c>
      <c r="C258" s="27" t="s">
        <v>799</v>
      </c>
      <c r="D258" s="26" t="s">
        <v>804</v>
      </c>
      <c r="E258" s="26" t="s">
        <v>491</v>
      </c>
      <c r="F258" s="26" t="s">
        <v>841</v>
      </c>
      <c r="G258" s="26" t="s">
        <v>570</v>
      </c>
      <c r="H258" s="26" t="s">
        <v>842</v>
      </c>
      <c r="I258" s="45" t="s">
        <v>830</v>
      </c>
      <c r="J258" s="26" t="s">
        <v>806</v>
      </c>
      <c r="K258" s="26" t="s">
        <v>843</v>
      </c>
      <c r="L258" s="45"/>
      <c r="M258" s="45" t="s">
        <v>2</v>
      </c>
      <c r="N258" s="120"/>
      <c r="O258" s="26"/>
      <c r="P258" s="112" t="str">
        <f>IF(Tabela3[[#This Row],[RETIRADA APÓS CALIBRAÇÃO (STANDBY)]]="","",Tabela3[[#This Row],[RETIRADA APÓS CALIBRAÇÃO (STANDBY)]]+365)</f>
        <v/>
      </c>
    </row>
    <row r="259" spans="1:16" ht="54.95" customHeight="1" x14ac:dyDescent="0.5">
      <c r="A259" s="39"/>
      <c r="B259" s="48" t="s">
        <v>844</v>
      </c>
      <c r="C259" s="27" t="s">
        <v>799</v>
      </c>
      <c r="D259" s="26" t="s">
        <v>815</v>
      </c>
      <c r="E259" s="26" t="s">
        <v>491</v>
      </c>
      <c r="F259" s="26" t="s">
        <v>845</v>
      </c>
      <c r="G259" s="26" t="s">
        <v>796</v>
      </c>
      <c r="H259" s="26" t="s">
        <v>44</v>
      </c>
      <c r="I259" s="45" t="s">
        <v>846</v>
      </c>
      <c r="J259" s="26" t="s">
        <v>505</v>
      </c>
      <c r="K259" s="26"/>
      <c r="L259" s="45" t="s">
        <v>1045</v>
      </c>
      <c r="M259" s="45" t="s">
        <v>1</v>
      </c>
      <c r="N259" s="37">
        <v>46169</v>
      </c>
      <c r="O259" s="37">
        <v>46169</v>
      </c>
      <c r="P259" s="112">
        <f>IF(Tabela3[[#This Row],[RETIRADA APÓS CALIBRAÇÃO (STANDBY)]]="","",Tabela3[[#This Row],[RETIRADA APÓS CALIBRAÇÃO (STANDBY)]]+365)</f>
        <v>46534</v>
      </c>
    </row>
    <row r="260" spans="1:16" ht="54.95" customHeight="1" x14ac:dyDescent="0.5">
      <c r="A260" s="39" t="s">
        <v>1259</v>
      </c>
      <c r="B260" s="48" t="s">
        <v>847</v>
      </c>
      <c r="C260" s="27" t="s">
        <v>799</v>
      </c>
      <c r="D260" s="26" t="s">
        <v>815</v>
      </c>
      <c r="E260" s="26" t="s">
        <v>508</v>
      </c>
      <c r="F260" s="26" t="s">
        <v>848</v>
      </c>
      <c r="G260" s="26" t="s">
        <v>796</v>
      </c>
      <c r="H260" s="26" t="s">
        <v>44</v>
      </c>
      <c r="I260" s="45" t="s">
        <v>1126</v>
      </c>
      <c r="J260" s="26" t="s">
        <v>505</v>
      </c>
      <c r="K260" s="26"/>
      <c r="L260" s="45" t="s">
        <v>849</v>
      </c>
      <c r="M260" s="45" t="s">
        <v>1</v>
      </c>
      <c r="N260" s="37">
        <v>46149</v>
      </c>
      <c r="O260" s="37">
        <v>46149</v>
      </c>
      <c r="P260" s="112">
        <f>IF(Tabela3[[#This Row],[RETIRADA APÓS CALIBRAÇÃO (STANDBY)]]="","",Tabela3[[#This Row],[RETIRADA APÓS CALIBRAÇÃO (STANDBY)]]+365)</f>
        <v>46514</v>
      </c>
    </row>
    <row r="261" spans="1:16" ht="54.95" customHeight="1" x14ac:dyDescent="0.5">
      <c r="A261" s="39"/>
      <c r="B261" s="34" t="s">
        <v>850</v>
      </c>
      <c r="C261" s="7" t="s">
        <v>799</v>
      </c>
      <c r="D261" s="7" t="s">
        <v>815</v>
      </c>
      <c r="E261" s="7"/>
      <c r="F261" s="7"/>
      <c r="G261" s="7" t="s">
        <v>796</v>
      </c>
      <c r="H261" s="7" t="s">
        <v>44</v>
      </c>
      <c r="I261" s="45" t="s">
        <v>1279</v>
      </c>
      <c r="J261" s="26" t="s">
        <v>129</v>
      </c>
      <c r="K261" s="26" t="s">
        <v>851</v>
      </c>
      <c r="L261" s="45"/>
      <c r="M261" s="45" t="s">
        <v>2</v>
      </c>
      <c r="N261" s="120"/>
      <c r="O261" s="37"/>
      <c r="P261" s="112" t="str">
        <f>IF(Tabela3[[#This Row],[RETIRADA APÓS CALIBRAÇÃO (STANDBY)]]="","",Tabela3[[#This Row],[RETIRADA APÓS CALIBRAÇÃO (STANDBY)]]+365)</f>
        <v/>
      </c>
    </row>
    <row r="262" spans="1:16" ht="54.95" customHeight="1" x14ac:dyDescent="0.5">
      <c r="A262" s="39"/>
      <c r="B262" s="109" t="s">
        <v>852</v>
      </c>
      <c r="C262" s="7" t="s">
        <v>799</v>
      </c>
      <c r="D262" s="7" t="s">
        <v>815</v>
      </c>
      <c r="E262" s="7" t="s">
        <v>491</v>
      </c>
      <c r="F262" s="7" t="s">
        <v>853</v>
      </c>
      <c r="G262" s="7"/>
      <c r="H262" s="7" t="s">
        <v>44</v>
      </c>
      <c r="I262" s="19" t="s">
        <v>384</v>
      </c>
      <c r="J262" s="7"/>
      <c r="K262" s="7"/>
      <c r="L262" s="19"/>
      <c r="M262" s="19"/>
      <c r="N262" s="114"/>
      <c r="O262" s="7"/>
      <c r="P262" s="112" t="str">
        <f>IF(Tabela3[[#This Row],[RETIRADA APÓS CALIBRAÇÃO (STANDBY)]]="","",Tabela3[[#This Row],[RETIRADA APÓS CALIBRAÇÃO (STANDBY)]]+365)</f>
        <v/>
      </c>
    </row>
    <row r="263" spans="1:16" ht="54.95" customHeight="1" x14ac:dyDescent="0.5">
      <c r="A263" s="39"/>
      <c r="B263" s="110" t="s">
        <v>854</v>
      </c>
      <c r="C263" s="29" t="s">
        <v>799</v>
      </c>
      <c r="D263" s="30" t="s">
        <v>815</v>
      </c>
      <c r="E263" s="30" t="s">
        <v>491</v>
      </c>
      <c r="F263" s="30" t="s">
        <v>855</v>
      </c>
      <c r="G263" s="30" t="s">
        <v>856</v>
      </c>
      <c r="H263" s="62" t="s">
        <v>44</v>
      </c>
      <c r="I263" s="45" t="s">
        <v>384</v>
      </c>
      <c r="J263" s="31"/>
      <c r="K263" s="31"/>
      <c r="L263" s="46"/>
      <c r="M263" s="46"/>
      <c r="N263" s="119"/>
      <c r="O263" s="26"/>
      <c r="P263" s="112" t="str">
        <f>IF(Tabela3[[#This Row],[RETIRADA APÓS CALIBRAÇÃO (STANDBY)]]="","",Tabela3[[#This Row],[RETIRADA APÓS CALIBRAÇÃO (STANDBY)]]+365)</f>
        <v/>
      </c>
    </row>
    <row r="264" spans="1:16" ht="54.95" customHeight="1" x14ac:dyDescent="0.5">
      <c r="A264" s="39"/>
      <c r="B264" s="98" t="s">
        <v>857</v>
      </c>
      <c r="C264" s="7" t="s">
        <v>799</v>
      </c>
      <c r="D264" s="7" t="s">
        <v>858</v>
      </c>
      <c r="E264" s="7" t="s">
        <v>859</v>
      </c>
      <c r="F264" s="7">
        <v>5614</v>
      </c>
      <c r="G264" s="7" t="s">
        <v>860</v>
      </c>
      <c r="H264" s="7" t="s">
        <v>44</v>
      </c>
      <c r="I264" s="19" t="s">
        <v>861</v>
      </c>
      <c r="J264" s="7" t="s">
        <v>806</v>
      </c>
      <c r="K264" s="7"/>
      <c r="L264" s="19"/>
      <c r="M264" s="19" t="s">
        <v>6</v>
      </c>
      <c r="N264" s="114"/>
      <c r="O264" s="7"/>
      <c r="P264" s="112" t="str">
        <f>IF(Tabela3[[#This Row],[RETIRADA APÓS CALIBRAÇÃO (STANDBY)]]="","",Tabela3[[#This Row],[RETIRADA APÓS CALIBRAÇÃO (STANDBY)]]+365)</f>
        <v/>
      </c>
    </row>
    <row r="265" spans="1:16" ht="54.95" customHeight="1" x14ac:dyDescent="0.5">
      <c r="A265" s="39"/>
      <c r="B265" s="144" t="s">
        <v>862</v>
      </c>
      <c r="C265" s="7" t="s">
        <v>799</v>
      </c>
      <c r="D265" s="7" t="s">
        <v>863</v>
      </c>
      <c r="E265" s="7" t="s">
        <v>491</v>
      </c>
      <c r="F265" s="7" t="s">
        <v>864</v>
      </c>
      <c r="G265" s="7" t="s">
        <v>570</v>
      </c>
      <c r="H265" s="7" t="s">
        <v>44</v>
      </c>
      <c r="I265" s="19"/>
      <c r="J265" s="7" t="s">
        <v>806</v>
      </c>
      <c r="K265" s="7"/>
      <c r="L265" s="152" t="s">
        <v>893</v>
      </c>
      <c r="M265" s="19" t="s">
        <v>1</v>
      </c>
      <c r="N265" s="114">
        <v>46049</v>
      </c>
      <c r="O265" s="6">
        <v>46049</v>
      </c>
      <c r="P265" s="112">
        <f>IF(Tabela3[[#This Row],[RETIRADA APÓS CALIBRAÇÃO (STANDBY)]]="","",Tabela3[[#This Row],[RETIRADA APÓS CALIBRAÇÃO (STANDBY)]]+365)</f>
        <v>46414</v>
      </c>
    </row>
    <row r="266" spans="1:16" ht="54.95" customHeight="1" x14ac:dyDescent="0.5">
      <c r="A266" s="39"/>
      <c r="B266" s="111" t="s">
        <v>865</v>
      </c>
      <c r="C266" s="7" t="s">
        <v>799</v>
      </c>
      <c r="D266" s="7" t="s">
        <v>821</v>
      </c>
      <c r="E266" s="7" t="s">
        <v>100</v>
      </c>
      <c r="F266" s="7">
        <v>5117554</v>
      </c>
      <c r="G266" s="7">
        <v>0.01</v>
      </c>
      <c r="H266" s="7" t="s">
        <v>44</v>
      </c>
      <c r="I266" s="19"/>
      <c r="J266" s="7"/>
      <c r="K266" s="7"/>
      <c r="L266" s="19" t="s">
        <v>866</v>
      </c>
      <c r="M266" s="19" t="s">
        <v>1</v>
      </c>
      <c r="N266" s="6">
        <v>46050</v>
      </c>
      <c r="O266" s="6">
        <v>46050</v>
      </c>
      <c r="P266" s="112">
        <f>IF(Tabela3[[#This Row],[RETIRADA APÓS CALIBRAÇÃO (STANDBY)]]="","",Tabela3[[#This Row],[RETIRADA APÓS CALIBRAÇÃO (STANDBY)]]+365)</f>
        <v>46415</v>
      </c>
    </row>
    <row r="267" spans="1:16" ht="54.75" customHeight="1" x14ac:dyDescent="0.5">
      <c r="A267" s="39"/>
      <c r="B267" s="111" t="s">
        <v>867</v>
      </c>
      <c r="C267" s="7" t="s">
        <v>799</v>
      </c>
      <c r="D267" s="7" t="s">
        <v>821</v>
      </c>
      <c r="E267" s="7" t="s">
        <v>100</v>
      </c>
      <c r="F267" s="7">
        <v>5116259</v>
      </c>
      <c r="G267" s="7">
        <v>0.01</v>
      </c>
      <c r="H267" s="7" t="s">
        <v>44</v>
      </c>
      <c r="I267" s="19"/>
      <c r="J267" s="7"/>
      <c r="K267" s="7"/>
      <c r="L267" s="19" t="s">
        <v>900</v>
      </c>
      <c r="M267" s="19" t="s">
        <v>1</v>
      </c>
      <c r="N267" s="114">
        <v>46049</v>
      </c>
      <c r="O267" s="114">
        <v>46049</v>
      </c>
      <c r="P267" s="112">
        <f>IF(Tabela3[[#This Row],[RETIRADA APÓS CALIBRAÇÃO (STANDBY)]]="","",Tabela3[[#This Row],[RETIRADA APÓS CALIBRAÇÃO (STANDBY)]]+365)</f>
        <v>46414</v>
      </c>
    </row>
    <row r="268" spans="1:16" ht="54.95" customHeight="1" x14ac:dyDescent="0.5">
      <c r="A268" s="39"/>
      <c r="B268" s="111" t="s">
        <v>868</v>
      </c>
      <c r="C268" s="7" t="s">
        <v>799</v>
      </c>
      <c r="D268" s="7" t="s">
        <v>821</v>
      </c>
      <c r="E268" s="7" t="s">
        <v>100</v>
      </c>
      <c r="F268" s="7">
        <v>5118290</v>
      </c>
      <c r="G268" s="7">
        <v>0.01</v>
      </c>
      <c r="H268" s="7" t="s">
        <v>44</v>
      </c>
      <c r="I268" s="19"/>
      <c r="J268" s="7"/>
      <c r="K268" s="7"/>
      <c r="L268" s="19" t="s">
        <v>869</v>
      </c>
      <c r="M268" s="19" t="s">
        <v>1</v>
      </c>
      <c r="N268" s="6">
        <v>46050</v>
      </c>
      <c r="O268" s="6">
        <v>46050</v>
      </c>
      <c r="P268" s="112">
        <f>IF(Tabela3[[#This Row],[RETIRADA APÓS CALIBRAÇÃO (STANDBY)]]="","",Tabela3[[#This Row],[RETIRADA APÓS CALIBRAÇÃO (STANDBY)]]+365)</f>
        <v>46415</v>
      </c>
    </row>
    <row r="269" spans="1:16" ht="54.95" customHeight="1" x14ac:dyDescent="0.5">
      <c r="A269" s="39"/>
      <c r="B269" s="111" t="s">
        <v>870</v>
      </c>
      <c r="C269" s="7" t="s">
        <v>799</v>
      </c>
      <c r="D269" s="7" t="s">
        <v>821</v>
      </c>
      <c r="E269" s="7" t="s">
        <v>100</v>
      </c>
      <c r="F269" s="7">
        <v>5114666</v>
      </c>
      <c r="G269" s="7">
        <v>0.01</v>
      </c>
      <c r="H269" s="7" t="s">
        <v>44</v>
      </c>
      <c r="I269" s="19"/>
      <c r="J269" s="7"/>
      <c r="K269" s="7"/>
      <c r="L269" s="19" t="s">
        <v>903</v>
      </c>
      <c r="M269" s="19" t="s">
        <v>1</v>
      </c>
      <c r="N269" s="114">
        <v>46049</v>
      </c>
      <c r="O269" s="6">
        <v>46049</v>
      </c>
      <c r="P269" s="112">
        <f>IF(Tabela3[[#This Row],[RETIRADA APÓS CALIBRAÇÃO (STANDBY)]]="","",Tabela3[[#This Row],[RETIRADA APÓS CALIBRAÇÃO (STANDBY)]]+365)</f>
        <v>46414</v>
      </c>
    </row>
    <row r="270" spans="1:16" ht="54.95" customHeight="1" x14ac:dyDescent="0.5">
      <c r="A270" s="39"/>
      <c r="B270" s="12" t="s">
        <v>871</v>
      </c>
      <c r="C270" s="38" t="s">
        <v>872</v>
      </c>
      <c r="D270" s="7" t="s">
        <v>873</v>
      </c>
      <c r="E270" s="7" t="s">
        <v>491</v>
      </c>
      <c r="F270" s="7">
        <v>522362809</v>
      </c>
      <c r="G270" s="7"/>
      <c r="H270" s="7" t="s">
        <v>44</v>
      </c>
      <c r="I270" s="19"/>
      <c r="J270" s="7" t="s">
        <v>118</v>
      </c>
      <c r="K270" s="7"/>
      <c r="L270" s="19" t="s">
        <v>1133</v>
      </c>
      <c r="M270" s="19" t="s">
        <v>1</v>
      </c>
      <c r="N270" s="6">
        <v>45944</v>
      </c>
      <c r="O270" s="6">
        <v>45944</v>
      </c>
      <c r="P270" s="112">
        <f>IF(Tabela3[[#This Row],[RETIRADA APÓS CALIBRAÇÃO (STANDBY)]]="","",Tabela3[[#This Row],[RETIRADA APÓS CALIBRAÇÃO (STANDBY)]]+365)</f>
        <v>46309</v>
      </c>
    </row>
    <row r="271" spans="1:16" ht="54.95" customHeight="1" x14ac:dyDescent="0.5">
      <c r="A271" s="39"/>
      <c r="B271" s="28" t="s">
        <v>876</v>
      </c>
      <c r="C271" s="4" t="s">
        <v>877</v>
      </c>
      <c r="D271" s="4" t="s">
        <v>878</v>
      </c>
      <c r="E271" s="4" t="s">
        <v>491</v>
      </c>
      <c r="F271" s="4" t="s">
        <v>864</v>
      </c>
      <c r="G271" s="4" t="s">
        <v>879</v>
      </c>
      <c r="H271" s="7" t="s">
        <v>44</v>
      </c>
      <c r="I271" s="46" t="s">
        <v>1276</v>
      </c>
      <c r="J271" s="31" t="s">
        <v>609</v>
      </c>
      <c r="K271" s="31"/>
      <c r="L271" s="41" t="s">
        <v>1323</v>
      </c>
      <c r="M271" s="41" t="s">
        <v>1</v>
      </c>
      <c r="N271" s="115">
        <v>46178</v>
      </c>
      <c r="O271" s="6">
        <v>46256</v>
      </c>
      <c r="P271" s="112">
        <f>IF(Tabela3[[#This Row],[RETIRADA APÓS CALIBRAÇÃO (STANDBY)]]="","",Tabela3[[#This Row],[RETIRADA APÓS CALIBRAÇÃO (STANDBY)]]+365)</f>
        <v>46621</v>
      </c>
    </row>
    <row r="272" spans="1:16" ht="54.95" customHeight="1" x14ac:dyDescent="0.5">
      <c r="A272" s="39"/>
      <c r="B272" s="28" t="s">
        <v>880</v>
      </c>
      <c r="C272" s="4" t="s">
        <v>877</v>
      </c>
      <c r="D272" s="4" t="s">
        <v>881</v>
      </c>
      <c r="E272" s="4" t="s">
        <v>491</v>
      </c>
      <c r="F272" s="57" t="s">
        <v>882</v>
      </c>
      <c r="G272" s="57" t="s">
        <v>492</v>
      </c>
      <c r="H272" s="9" t="s">
        <v>44</v>
      </c>
      <c r="I272" s="41"/>
      <c r="J272" s="5" t="s">
        <v>818</v>
      </c>
      <c r="K272" s="5"/>
      <c r="L272" s="41" t="s">
        <v>883</v>
      </c>
      <c r="M272" s="41" t="s">
        <v>1</v>
      </c>
      <c r="N272" s="6">
        <v>45995</v>
      </c>
      <c r="O272" s="6">
        <v>45995</v>
      </c>
      <c r="P272" s="112">
        <f>IF(Tabela3[[#This Row],[RETIRADA APÓS CALIBRAÇÃO (STANDBY)]]="","",Tabela3[[#This Row],[RETIRADA APÓS CALIBRAÇÃO (STANDBY)]]+365)</f>
        <v>46360</v>
      </c>
    </row>
    <row r="273" spans="1:16" ht="54.95" customHeight="1" x14ac:dyDescent="0.5">
      <c r="A273" s="39"/>
      <c r="B273" s="28" t="s">
        <v>884</v>
      </c>
      <c r="C273" s="29" t="s">
        <v>877</v>
      </c>
      <c r="D273" s="30" t="s">
        <v>885</v>
      </c>
      <c r="E273" s="30" t="s">
        <v>491</v>
      </c>
      <c r="F273" s="30" t="s">
        <v>886</v>
      </c>
      <c r="G273" s="30" t="s">
        <v>492</v>
      </c>
      <c r="H273" s="62" t="s">
        <v>44</v>
      </c>
      <c r="I273" s="46"/>
      <c r="J273" s="31" t="s">
        <v>609</v>
      </c>
      <c r="K273" s="46"/>
      <c r="L273" s="46" t="s">
        <v>819</v>
      </c>
      <c r="M273" s="46" t="s">
        <v>1</v>
      </c>
      <c r="N273" s="37">
        <v>45922</v>
      </c>
      <c r="O273" s="37">
        <v>45922</v>
      </c>
      <c r="P273" s="112">
        <f>IF(Tabela3[[#This Row],[RETIRADA APÓS CALIBRAÇÃO (STANDBY)]]="","",Tabela3[[#This Row],[RETIRADA APÓS CALIBRAÇÃO (STANDBY)]]+365)</f>
        <v>46287</v>
      </c>
    </row>
    <row r="274" spans="1:16" ht="54.95" customHeight="1" x14ac:dyDescent="0.5">
      <c r="A274" s="39"/>
      <c r="B274" s="13" t="s">
        <v>887</v>
      </c>
      <c r="C274" s="4" t="s">
        <v>877</v>
      </c>
      <c r="D274" s="4" t="s">
        <v>888</v>
      </c>
      <c r="E274" s="4" t="s">
        <v>889</v>
      </c>
      <c r="F274" s="4" t="s">
        <v>50</v>
      </c>
      <c r="G274" s="4" t="s">
        <v>570</v>
      </c>
      <c r="H274" s="9" t="s">
        <v>44</v>
      </c>
      <c r="I274" s="46"/>
      <c r="J274" s="31" t="s">
        <v>806</v>
      </c>
      <c r="K274" s="31"/>
      <c r="L274" s="41" t="s">
        <v>1258</v>
      </c>
      <c r="M274" s="41" t="s">
        <v>1</v>
      </c>
      <c r="N274" s="6">
        <v>46182</v>
      </c>
      <c r="O274" s="6">
        <v>46182</v>
      </c>
      <c r="P274" s="112">
        <f>IF(Tabela3[[#This Row],[RETIRADA APÓS CALIBRAÇÃO (STANDBY)]]="","",Tabela3[[#This Row],[RETIRADA APÓS CALIBRAÇÃO (STANDBY)]]+365)</f>
        <v>46547</v>
      </c>
    </row>
    <row r="275" spans="1:16" ht="54.95" customHeight="1" x14ac:dyDescent="0.5">
      <c r="A275" s="39"/>
      <c r="B275" s="8" t="s">
        <v>890</v>
      </c>
      <c r="C275" s="4" t="s">
        <v>877</v>
      </c>
      <c r="D275" s="4" t="s">
        <v>891</v>
      </c>
      <c r="E275" s="9" t="s">
        <v>491</v>
      </c>
      <c r="F275" s="9" t="s">
        <v>892</v>
      </c>
      <c r="G275" s="9" t="s">
        <v>492</v>
      </c>
      <c r="H275" s="9" t="s">
        <v>44</v>
      </c>
      <c r="I275" s="40"/>
      <c r="J275" s="10" t="s">
        <v>818</v>
      </c>
      <c r="K275" s="10"/>
      <c r="L275" s="40" t="s">
        <v>893</v>
      </c>
      <c r="M275" s="40" t="s">
        <v>1</v>
      </c>
      <c r="N275" s="6">
        <v>46049</v>
      </c>
      <c r="O275" s="6">
        <v>46049</v>
      </c>
      <c r="P275" s="112">
        <f>IF(Tabela3[[#This Row],[RETIRADA APÓS CALIBRAÇÃO (STANDBY)]]="","",Tabela3[[#This Row],[RETIRADA APÓS CALIBRAÇÃO (STANDBY)]]+365)</f>
        <v>46414</v>
      </c>
    </row>
    <row r="276" spans="1:16" ht="54.75" customHeight="1" x14ac:dyDescent="0.5">
      <c r="A276" s="39"/>
      <c r="B276" s="8" t="s">
        <v>894</v>
      </c>
      <c r="C276" s="4" t="s">
        <v>877</v>
      </c>
      <c r="D276" s="4" t="s">
        <v>878</v>
      </c>
      <c r="E276" s="9"/>
      <c r="F276" s="9"/>
      <c r="G276" s="9" t="s">
        <v>492</v>
      </c>
      <c r="H276" s="9" t="s">
        <v>44</v>
      </c>
      <c r="I276" s="40"/>
      <c r="J276" s="10" t="s">
        <v>818</v>
      </c>
      <c r="K276" s="10"/>
      <c r="L276" s="153" t="s">
        <v>893</v>
      </c>
      <c r="M276" s="40" t="s">
        <v>1</v>
      </c>
      <c r="N276" s="116">
        <v>46049</v>
      </c>
      <c r="O276" s="116">
        <v>46050</v>
      </c>
      <c r="P276" s="112">
        <f>IF(Tabela3[[#This Row],[RETIRADA APÓS CALIBRAÇÃO (STANDBY)]]="","",Tabela3[[#This Row],[RETIRADA APÓS CALIBRAÇÃO (STANDBY)]]+365)</f>
        <v>46415</v>
      </c>
    </row>
    <row r="277" spans="1:16" ht="54.95" customHeight="1" x14ac:dyDescent="0.5">
      <c r="A277" s="39"/>
      <c r="B277" s="8" t="s">
        <v>895</v>
      </c>
      <c r="C277" s="4" t="s">
        <v>877</v>
      </c>
      <c r="D277" s="4" t="s">
        <v>896</v>
      </c>
      <c r="E277" s="9" t="s">
        <v>491</v>
      </c>
      <c r="F277" s="9" t="s">
        <v>897</v>
      </c>
      <c r="G277" s="9" t="s">
        <v>492</v>
      </c>
      <c r="H277" s="9" t="s">
        <v>44</v>
      </c>
      <c r="I277" s="40"/>
      <c r="J277" s="10" t="s">
        <v>818</v>
      </c>
      <c r="K277" s="10"/>
      <c r="L277" s="151" t="s">
        <v>893</v>
      </c>
      <c r="M277" s="40" t="s">
        <v>1</v>
      </c>
      <c r="N277" s="116">
        <v>46049</v>
      </c>
      <c r="O277" s="6">
        <v>46049</v>
      </c>
      <c r="P277" s="112">
        <f>IF(Tabela3[[#This Row],[RETIRADA APÓS CALIBRAÇÃO (STANDBY)]]="","",Tabela3[[#This Row],[RETIRADA APÓS CALIBRAÇÃO (STANDBY)]]+365)</f>
        <v>46414</v>
      </c>
    </row>
    <row r="278" spans="1:16" ht="54.95" customHeight="1" x14ac:dyDescent="0.5">
      <c r="A278" s="39"/>
      <c r="B278" s="8" t="s">
        <v>898</v>
      </c>
      <c r="C278" s="4" t="s">
        <v>877</v>
      </c>
      <c r="D278" s="4" t="s">
        <v>888</v>
      </c>
      <c r="E278" s="9" t="s">
        <v>491</v>
      </c>
      <c r="F278" s="9" t="s">
        <v>899</v>
      </c>
      <c r="G278" s="9" t="s">
        <v>570</v>
      </c>
      <c r="H278" s="9" t="s">
        <v>44</v>
      </c>
      <c r="I278" s="40"/>
      <c r="J278" s="10" t="s">
        <v>818</v>
      </c>
      <c r="K278" s="10"/>
      <c r="L278" s="40" t="s">
        <v>900</v>
      </c>
      <c r="M278" s="40" t="s">
        <v>1</v>
      </c>
      <c r="N278" s="116">
        <v>46049</v>
      </c>
      <c r="O278" s="6">
        <v>46049</v>
      </c>
      <c r="P278" s="112">
        <f>IF(Tabela3[[#This Row],[RETIRADA APÓS CALIBRAÇÃO (STANDBY)]]="","",Tabela3[[#This Row],[RETIRADA APÓS CALIBRAÇÃO (STANDBY)]]+365)</f>
        <v>46414</v>
      </c>
    </row>
    <row r="279" spans="1:16" ht="54.95" customHeight="1" x14ac:dyDescent="0.5">
      <c r="A279" s="39"/>
      <c r="B279" s="8" t="s">
        <v>901</v>
      </c>
      <c r="C279" s="85" t="s">
        <v>877</v>
      </c>
      <c r="D279" s="87" t="s">
        <v>888</v>
      </c>
      <c r="E279" s="100" t="s">
        <v>103</v>
      </c>
      <c r="F279" s="100" t="s">
        <v>902</v>
      </c>
      <c r="G279" s="100" t="s">
        <v>570</v>
      </c>
      <c r="H279" s="9" t="s">
        <v>44</v>
      </c>
      <c r="I279" s="40"/>
      <c r="J279" s="10" t="s">
        <v>818</v>
      </c>
      <c r="K279" s="10"/>
      <c r="L279" s="102" t="s">
        <v>903</v>
      </c>
      <c r="M279" s="102" t="s">
        <v>1</v>
      </c>
      <c r="N279" s="84">
        <v>46049</v>
      </c>
      <c r="O279" s="84">
        <v>46049</v>
      </c>
      <c r="P279" s="112">
        <f>IF(Tabela3[[#This Row],[RETIRADA APÓS CALIBRAÇÃO (STANDBY)]]="","",Tabela3[[#This Row],[RETIRADA APÓS CALIBRAÇÃO (STANDBY)]]+365)</f>
        <v>46414</v>
      </c>
    </row>
    <row r="280" spans="1:16" ht="54.95" customHeight="1" x14ac:dyDescent="0.5">
      <c r="A280" s="39"/>
      <c r="B280" s="28" t="s">
        <v>904</v>
      </c>
      <c r="C280" s="4" t="s">
        <v>905</v>
      </c>
      <c r="D280" s="64" t="s">
        <v>906</v>
      </c>
      <c r="E280" s="4" t="s">
        <v>410</v>
      </c>
      <c r="F280" s="4" t="s">
        <v>907</v>
      </c>
      <c r="G280" s="4"/>
      <c r="H280" s="62" t="s">
        <v>908</v>
      </c>
      <c r="I280" s="46" t="s">
        <v>909</v>
      </c>
      <c r="J280" s="31" t="s">
        <v>380</v>
      </c>
      <c r="K280" s="31" t="s">
        <v>910</v>
      </c>
      <c r="L280" s="41" t="s">
        <v>1198</v>
      </c>
      <c r="M280" s="41" t="s">
        <v>1</v>
      </c>
      <c r="N280" s="6">
        <v>46191</v>
      </c>
      <c r="O280" s="6">
        <v>46191</v>
      </c>
      <c r="P280" s="112">
        <f>IF(Tabela3[[#This Row],[RETIRADA APÓS CALIBRAÇÃO (STANDBY)]]="","",Tabela3[[#This Row],[RETIRADA APÓS CALIBRAÇÃO (STANDBY)]]+365)</f>
        <v>46556</v>
      </c>
    </row>
    <row r="281" spans="1:16" ht="54.95" customHeight="1" x14ac:dyDescent="0.5">
      <c r="A281" s="39"/>
      <c r="B281" s="34" t="s">
        <v>911</v>
      </c>
      <c r="C281" s="4" t="s">
        <v>905</v>
      </c>
      <c r="D281" s="4" t="s">
        <v>906</v>
      </c>
      <c r="E281" s="4" t="s">
        <v>410</v>
      </c>
      <c r="F281" s="7">
        <v>433732</v>
      </c>
      <c r="G281" s="7"/>
      <c r="H281" s="9" t="s">
        <v>44</v>
      </c>
      <c r="I281" s="45"/>
      <c r="J281" s="26" t="s">
        <v>129</v>
      </c>
      <c r="K281" s="26"/>
      <c r="L281" s="79" t="s">
        <v>912</v>
      </c>
      <c r="M281" s="79" t="s">
        <v>2</v>
      </c>
      <c r="N281" s="84">
        <v>45474</v>
      </c>
      <c r="O281" s="84">
        <v>45474</v>
      </c>
      <c r="P281" s="112">
        <f>IF(Tabela3[[#This Row],[RETIRADA APÓS CALIBRAÇÃO (STANDBY)]]="","",Tabela3[[#This Row],[RETIRADA APÓS CALIBRAÇÃO (STANDBY)]]+365)</f>
        <v>45839</v>
      </c>
    </row>
    <row r="282" spans="1:16" ht="54.95" customHeight="1" x14ac:dyDescent="0.25">
      <c r="B282" s="13" t="s">
        <v>1125</v>
      </c>
      <c r="C282" s="32" t="s">
        <v>976</v>
      </c>
      <c r="D282" s="64" t="s">
        <v>992</v>
      </c>
      <c r="E282" s="9" t="s">
        <v>410</v>
      </c>
      <c r="F282" s="68">
        <v>2310687</v>
      </c>
      <c r="G282" s="9"/>
      <c r="H282" s="9" t="s">
        <v>44</v>
      </c>
      <c r="I282" s="40" t="s">
        <v>1135</v>
      </c>
      <c r="J282" s="31" t="s">
        <v>380</v>
      </c>
      <c r="K282" s="10"/>
      <c r="L282" s="40" t="s">
        <v>1041</v>
      </c>
      <c r="M282" s="40" t="s">
        <v>1</v>
      </c>
      <c r="N282" s="116">
        <v>46165</v>
      </c>
      <c r="O282" s="116">
        <v>46165</v>
      </c>
      <c r="P282" s="112">
        <f>IF(Tabela3[[#This Row],[RETIRADA APÓS CALIBRAÇÃO (STANDBY)]]="","",Tabela3[[#This Row],[RETIRADA APÓS CALIBRAÇÃO (STANDBY)]]+365)</f>
        <v>46530</v>
      </c>
    </row>
    <row r="283" spans="1:16" ht="54.95" customHeight="1" x14ac:dyDescent="0.5">
      <c r="A283" s="39"/>
      <c r="B283" s="96" t="s">
        <v>913</v>
      </c>
      <c r="C283" s="7" t="s">
        <v>914</v>
      </c>
      <c r="D283" s="19" t="s">
        <v>915</v>
      </c>
      <c r="E283" s="7" t="s">
        <v>916</v>
      </c>
      <c r="F283" s="7" t="s">
        <v>917</v>
      </c>
      <c r="G283" s="7"/>
      <c r="H283" s="26" t="s">
        <v>44</v>
      </c>
      <c r="I283" s="45"/>
      <c r="J283" s="26" t="s">
        <v>59</v>
      </c>
      <c r="K283" s="26"/>
      <c r="L283" s="19" t="s">
        <v>918</v>
      </c>
      <c r="M283" s="19" t="s">
        <v>4</v>
      </c>
      <c r="N283" s="6">
        <v>45499</v>
      </c>
      <c r="O283" s="6">
        <v>45499</v>
      </c>
      <c r="P283" s="112">
        <f>IF(Tabela3[[#This Row],[RETIRADA APÓS CALIBRAÇÃO (STANDBY)]]="","",Tabela3[[#This Row],[RETIRADA APÓS CALIBRAÇÃO (STANDBY)]]+365)</f>
        <v>45864</v>
      </c>
    </row>
    <row r="284" spans="1:16" ht="54.95" customHeight="1" x14ac:dyDescent="0.5">
      <c r="A284" s="39"/>
      <c r="B284" s="97" t="s">
        <v>919</v>
      </c>
      <c r="C284" s="4" t="s">
        <v>920</v>
      </c>
      <c r="D284" s="4" t="s">
        <v>1181</v>
      </c>
      <c r="E284" s="4" t="s">
        <v>922</v>
      </c>
      <c r="F284" s="4" t="s">
        <v>1185</v>
      </c>
      <c r="G284" s="4"/>
      <c r="H284" s="9" t="s">
        <v>1114</v>
      </c>
      <c r="I284" s="41" t="s">
        <v>1177</v>
      </c>
      <c r="J284" s="5" t="s">
        <v>129</v>
      </c>
      <c r="K284" s="5" t="s">
        <v>924</v>
      </c>
      <c r="L284" s="41"/>
      <c r="M284" s="41" t="s">
        <v>2</v>
      </c>
      <c r="N284" s="6">
        <v>45460</v>
      </c>
      <c r="O284" s="6">
        <v>45460</v>
      </c>
      <c r="P284" s="112">
        <f>IF(Tabela3[[#This Row],[RETIRADA APÓS CALIBRAÇÃO (STANDBY)]]="","",Tabela3[[#This Row],[RETIRADA APÓS CALIBRAÇÃO (STANDBY)]]+365)</f>
        <v>45825</v>
      </c>
    </row>
    <row r="285" spans="1:16" ht="117" customHeight="1" x14ac:dyDescent="0.5">
      <c r="A285" s="39"/>
      <c r="B285" s="81" t="s">
        <v>925</v>
      </c>
      <c r="C285" s="4" t="s">
        <v>920</v>
      </c>
      <c r="D285" s="4" t="s">
        <v>921</v>
      </c>
      <c r="E285" s="7" t="s">
        <v>37</v>
      </c>
      <c r="F285" s="7" t="s">
        <v>926</v>
      </c>
      <c r="G285" s="7"/>
      <c r="H285" s="26" t="s">
        <v>44</v>
      </c>
      <c r="I285" s="45" t="s">
        <v>927</v>
      </c>
      <c r="J285" s="26"/>
      <c r="K285" s="26"/>
      <c r="L285" s="19"/>
      <c r="M285" s="19" t="s">
        <v>5</v>
      </c>
      <c r="N285" s="114"/>
      <c r="O285" s="7"/>
      <c r="P285" s="112" t="str">
        <f>IF(Tabela3[[#This Row],[RETIRADA APÓS CALIBRAÇÃO (STANDBY)]]="","",Tabela3[[#This Row],[RETIRADA APÓS CALIBRAÇÃO (STANDBY)]]+365)</f>
        <v/>
      </c>
    </row>
    <row r="286" spans="1:16" ht="105" customHeight="1" x14ac:dyDescent="0.5">
      <c r="A286" s="39"/>
      <c r="B286" s="36" t="s">
        <v>928</v>
      </c>
      <c r="C286" s="4" t="s">
        <v>920</v>
      </c>
      <c r="D286" s="87" t="s">
        <v>929</v>
      </c>
      <c r="E286" s="87" t="s">
        <v>930</v>
      </c>
      <c r="F286" s="87" t="s">
        <v>128</v>
      </c>
      <c r="G286" s="87"/>
      <c r="H286" s="62" t="s">
        <v>18</v>
      </c>
      <c r="I286" s="61"/>
      <c r="J286" s="31" t="s">
        <v>129</v>
      </c>
      <c r="K286" s="31" t="s">
        <v>931</v>
      </c>
      <c r="L286" s="88"/>
      <c r="M286" s="88" t="s">
        <v>2</v>
      </c>
      <c r="N286" s="84">
        <v>45460</v>
      </c>
      <c r="O286" s="84">
        <v>45460</v>
      </c>
      <c r="P286" s="112">
        <f>IF(Tabela3[[#This Row],[RETIRADA APÓS CALIBRAÇÃO (STANDBY)]]="","",Tabela3[[#This Row],[RETIRADA APÓS CALIBRAÇÃO (STANDBY)]]+365)</f>
        <v>45825</v>
      </c>
    </row>
    <row r="287" spans="1:16" ht="90" x14ac:dyDescent="0.5">
      <c r="A287" s="39"/>
      <c r="B287" s="36" t="s">
        <v>932</v>
      </c>
      <c r="C287" s="4" t="s">
        <v>920</v>
      </c>
      <c r="D287" s="4" t="s">
        <v>933</v>
      </c>
      <c r="E287" s="7" t="s">
        <v>37</v>
      </c>
      <c r="F287" s="7">
        <v>84122</v>
      </c>
      <c r="G287" s="7" t="s">
        <v>934</v>
      </c>
      <c r="H287" s="26" t="s">
        <v>44</v>
      </c>
      <c r="I287" s="45" t="s">
        <v>935</v>
      </c>
      <c r="J287" s="26" t="s">
        <v>936</v>
      </c>
      <c r="K287" s="26"/>
      <c r="L287" s="19" t="s">
        <v>937</v>
      </c>
      <c r="M287" s="19" t="s">
        <v>2</v>
      </c>
      <c r="N287" s="6">
        <v>45903</v>
      </c>
      <c r="O287" s="6">
        <v>45903</v>
      </c>
      <c r="P287" s="112">
        <f>IF(Tabela3[[#This Row],[RETIRADA APÓS CALIBRAÇÃO (STANDBY)]]="","",Tabela3[[#This Row],[RETIRADA APÓS CALIBRAÇÃO (STANDBY)]]+180)</f>
        <v>46083</v>
      </c>
    </row>
    <row r="288" spans="1:16" ht="54.95" customHeight="1" x14ac:dyDescent="0.5">
      <c r="A288" s="39"/>
      <c r="B288" s="12" t="s">
        <v>938</v>
      </c>
      <c r="C288" s="4" t="s">
        <v>920</v>
      </c>
      <c r="D288" s="86" t="s">
        <v>939</v>
      </c>
      <c r="E288" s="90" t="s">
        <v>613</v>
      </c>
      <c r="F288" s="90" t="s">
        <v>940</v>
      </c>
      <c r="G288" s="90" t="s">
        <v>934</v>
      </c>
      <c r="H288" s="7" t="s">
        <v>11</v>
      </c>
      <c r="I288" s="45" t="s">
        <v>941</v>
      </c>
      <c r="J288" s="26" t="s">
        <v>936</v>
      </c>
      <c r="K288" s="7" t="s">
        <v>942</v>
      </c>
      <c r="L288" s="91" t="s">
        <v>943</v>
      </c>
      <c r="M288" s="91" t="s">
        <v>1</v>
      </c>
      <c r="N288" s="83">
        <v>45922</v>
      </c>
      <c r="O288" s="83">
        <v>45922</v>
      </c>
      <c r="P288" s="112">
        <f>IF(Tabela3[[#This Row],[RETIRADA APÓS CALIBRAÇÃO (STANDBY)]]="","",Tabela3[[#This Row],[RETIRADA APÓS CALIBRAÇÃO (STANDBY)]]+365)</f>
        <v>46287</v>
      </c>
    </row>
    <row r="289" spans="1:16" ht="54.95" customHeight="1" x14ac:dyDescent="0.5">
      <c r="A289" s="39"/>
      <c r="B289" s="147" t="s">
        <v>944</v>
      </c>
      <c r="C289" s="4" t="s">
        <v>920</v>
      </c>
      <c r="D289" s="19" t="s">
        <v>945</v>
      </c>
      <c r="E289" s="7" t="s">
        <v>613</v>
      </c>
      <c r="F289" s="7" t="s">
        <v>946</v>
      </c>
      <c r="G289" s="7"/>
      <c r="H289" s="7" t="s">
        <v>44</v>
      </c>
      <c r="I289" s="40" t="s">
        <v>1287</v>
      </c>
      <c r="J289" s="7" t="s">
        <v>936</v>
      </c>
      <c r="K289" s="7"/>
      <c r="L289" s="19" t="s">
        <v>947</v>
      </c>
      <c r="M289" s="19" t="s">
        <v>3</v>
      </c>
      <c r="N289" s="6">
        <v>45513</v>
      </c>
      <c r="O289" s="6">
        <v>45513</v>
      </c>
      <c r="P289" s="112">
        <f>IF(Tabela3[[#This Row],[RETIRADA APÓS CALIBRAÇÃO (STANDBY)]]="","",Tabela3[[#This Row],[RETIRADA APÓS CALIBRAÇÃO (STANDBY)]]+365)</f>
        <v>45878</v>
      </c>
    </row>
    <row r="290" spans="1:16" ht="54.95" customHeight="1" x14ac:dyDescent="0.5">
      <c r="A290" s="39"/>
      <c r="B290" s="12" t="s">
        <v>948</v>
      </c>
      <c r="C290" s="4" t="s">
        <v>920</v>
      </c>
      <c r="D290" s="26" t="s">
        <v>949</v>
      </c>
      <c r="E290" s="26" t="s">
        <v>37</v>
      </c>
      <c r="F290" s="26" t="s">
        <v>950</v>
      </c>
      <c r="G290" s="26"/>
      <c r="H290" s="7" t="s">
        <v>19</v>
      </c>
      <c r="I290" s="19" t="s">
        <v>1130</v>
      </c>
      <c r="J290" s="7" t="s">
        <v>129</v>
      </c>
      <c r="K290" s="7" t="s">
        <v>951</v>
      </c>
      <c r="L290" s="45" t="s">
        <v>952</v>
      </c>
      <c r="M290" s="45" t="s">
        <v>1</v>
      </c>
      <c r="N290" s="37">
        <v>46056</v>
      </c>
      <c r="O290" s="37">
        <v>46056</v>
      </c>
      <c r="P290" s="112">
        <f>IF(Tabela3[[#This Row],[RETIRADA APÓS CALIBRAÇÃO (STANDBY)]]="","",Tabela3[[#This Row],[RETIRADA APÓS CALIBRAÇÃO (STANDBY)]]+180)</f>
        <v>46236</v>
      </c>
    </row>
    <row r="291" spans="1:16" ht="54.95" customHeight="1" x14ac:dyDescent="0.5">
      <c r="A291" s="39"/>
      <c r="B291" s="14" t="s">
        <v>953</v>
      </c>
      <c r="C291" s="4" t="s">
        <v>920</v>
      </c>
      <c r="D291" s="7" t="s">
        <v>954</v>
      </c>
      <c r="E291" s="7"/>
      <c r="F291" s="7"/>
      <c r="G291" s="7"/>
      <c r="H291" s="7" t="s">
        <v>44</v>
      </c>
      <c r="I291" s="19"/>
      <c r="J291" s="7" t="s">
        <v>294</v>
      </c>
      <c r="K291" s="7"/>
      <c r="L291" s="19" t="s">
        <v>955</v>
      </c>
      <c r="M291" s="19" t="s">
        <v>2</v>
      </c>
      <c r="N291" s="114"/>
      <c r="O291" s="6">
        <v>45541</v>
      </c>
      <c r="P291" s="112">
        <f>IF(Tabela3[[#This Row],[RETIRADA APÓS CALIBRAÇÃO (STANDBY)]]="","",Tabela3[[#This Row],[RETIRADA APÓS CALIBRAÇÃO (STANDBY)]]+365)</f>
        <v>45906</v>
      </c>
    </row>
    <row r="292" spans="1:16" ht="54.95" customHeight="1" x14ac:dyDescent="0.5">
      <c r="A292" s="39"/>
      <c r="B292" s="14" t="s">
        <v>956</v>
      </c>
      <c r="C292" s="4" t="s">
        <v>920</v>
      </c>
      <c r="D292" s="7" t="s">
        <v>957</v>
      </c>
      <c r="E292" s="7"/>
      <c r="F292" s="7"/>
      <c r="G292" s="7"/>
      <c r="H292" s="7" t="s">
        <v>1114</v>
      </c>
      <c r="I292" s="45" t="s">
        <v>1174</v>
      </c>
      <c r="J292" s="26" t="s">
        <v>129</v>
      </c>
      <c r="K292" s="26" t="s">
        <v>958</v>
      </c>
      <c r="L292" s="45"/>
      <c r="M292" s="45" t="s">
        <v>2</v>
      </c>
      <c r="N292" s="120"/>
      <c r="O292" s="37"/>
      <c r="P292" s="112" t="str">
        <f>IF(Tabela3[[#This Row],[RETIRADA APÓS CALIBRAÇÃO (STANDBY)]]="","",Tabela3[[#This Row],[RETIRADA APÓS CALIBRAÇÃO (STANDBY)]]+365)</f>
        <v/>
      </c>
    </row>
    <row r="293" spans="1:16" ht="54.95" customHeight="1" x14ac:dyDescent="0.5">
      <c r="A293" s="39"/>
      <c r="B293" s="14" t="s">
        <v>959</v>
      </c>
      <c r="C293" s="4" t="s">
        <v>920</v>
      </c>
      <c r="D293" s="7" t="s">
        <v>957</v>
      </c>
      <c r="E293" s="7"/>
      <c r="F293" s="7"/>
      <c r="G293" s="7"/>
      <c r="H293" s="7" t="s">
        <v>923</v>
      </c>
      <c r="I293" s="19" t="s">
        <v>960</v>
      </c>
      <c r="J293" s="7" t="s">
        <v>129</v>
      </c>
      <c r="K293" s="7" t="s">
        <v>961</v>
      </c>
      <c r="L293" s="19"/>
      <c r="M293" s="19" t="s">
        <v>2</v>
      </c>
      <c r="N293" s="114"/>
      <c r="O293" s="6"/>
      <c r="P293" s="112" t="str">
        <f>IF(Tabela3[[#This Row],[RETIRADA APÓS CALIBRAÇÃO (STANDBY)]]="","",Tabela3[[#This Row],[RETIRADA APÓS CALIBRAÇÃO (STANDBY)]]+365)</f>
        <v/>
      </c>
    </row>
    <row r="294" spans="1:16" ht="54.95" customHeight="1" x14ac:dyDescent="0.5">
      <c r="A294" s="39"/>
      <c r="B294" s="14" t="s">
        <v>962</v>
      </c>
      <c r="C294" s="4" t="s">
        <v>920</v>
      </c>
      <c r="D294" s="7" t="s">
        <v>963</v>
      </c>
      <c r="E294" s="7"/>
      <c r="F294" s="7"/>
      <c r="G294" s="7"/>
      <c r="H294" s="7" t="s">
        <v>1114</v>
      </c>
      <c r="I294" s="45" t="s">
        <v>964</v>
      </c>
      <c r="J294" s="26" t="s">
        <v>129</v>
      </c>
      <c r="K294" s="26"/>
      <c r="L294" s="45"/>
      <c r="M294" s="45" t="s">
        <v>2</v>
      </c>
      <c r="N294" s="120"/>
      <c r="O294" s="37"/>
      <c r="P294" s="112" t="str">
        <f>IF(Tabela3[[#This Row],[RETIRADA APÓS CALIBRAÇÃO (STANDBY)]]="","",Tabela3[[#This Row],[RETIRADA APÓS CALIBRAÇÃO (STANDBY)]]+365)</f>
        <v/>
      </c>
    </row>
    <row r="295" spans="1:16" ht="54.95" customHeight="1" x14ac:dyDescent="0.5">
      <c r="A295" s="39"/>
      <c r="B295" s="14" t="s">
        <v>965</v>
      </c>
      <c r="C295" s="4" t="s">
        <v>920</v>
      </c>
      <c r="D295" s="7" t="s">
        <v>966</v>
      </c>
      <c r="E295" s="7"/>
      <c r="F295" s="7"/>
      <c r="G295" s="7"/>
      <c r="H295" s="7" t="s">
        <v>1114</v>
      </c>
      <c r="I295" s="45" t="s">
        <v>967</v>
      </c>
      <c r="J295" s="26" t="s">
        <v>129</v>
      </c>
      <c r="K295" s="26" t="s">
        <v>968</v>
      </c>
      <c r="L295" s="45"/>
      <c r="M295" s="45" t="s">
        <v>2</v>
      </c>
      <c r="N295" s="120"/>
      <c r="O295" s="37"/>
      <c r="P295" s="112" t="str">
        <f>IF(Tabela3[[#This Row],[RETIRADA APÓS CALIBRAÇÃO (STANDBY)]]="","",Tabela3[[#This Row],[RETIRADA APÓS CALIBRAÇÃO (STANDBY)]]+365)</f>
        <v/>
      </c>
    </row>
    <row r="296" spans="1:16" ht="54.95" customHeight="1" x14ac:dyDescent="0.5">
      <c r="A296" s="39"/>
      <c r="B296" s="14" t="s">
        <v>969</v>
      </c>
      <c r="C296" s="4" t="s">
        <v>920</v>
      </c>
      <c r="D296" s="7" t="s">
        <v>970</v>
      </c>
      <c r="E296" s="7" t="s">
        <v>410</v>
      </c>
      <c r="F296" s="7" t="s">
        <v>971</v>
      </c>
      <c r="G296" s="7"/>
      <c r="H296" s="7" t="s">
        <v>415</v>
      </c>
      <c r="I296" s="19"/>
      <c r="J296" s="7"/>
      <c r="K296" s="7"/>
      <c r="L296" s="19"/>
      <c r="M296" s="19" t="s">
        <v>2</v>
      </c>
      <c r="N296" s="114"/>
      <c r="O296" s="6"/>
      <c r="P296" s="112" t="str">
        <f>IF(Tabela3[[#This Row],[RETIRADA APÓS CALIBRAÇÃO (STANDBY)]]="","",Tabela3[[#This Row],[RETIRADA APÓS CALIBRAÇÃO (STANDBY)]]+365)</f>
        <v/>
      </c>
    </row>
    <row r="297" spans="1:16" ht="54.95" customHeight="1" x14ac:dyDescent="0.5">
      <c r="A297" s="39"/>
      <c r="B297" s="14" t="s">
        <v>1175</v>
      </c>
      <c r="C297" s="4" t="s">
        <v>920</v>
      </c>
      <c r="D297" s="7" t="s">
        <v>1176</v>
      </c>
      <c r="E297" s="7"/>
      <c r="F297" s="164" t="s">
        <v>1178</v>
      </c>
      <c r="G297" s="7"/>
      <c r="H297" s="7" t="s">
        <v>1114</v>
      </c>
      <c r="I297" s="19" t="s">
        <v>1177</v>
      </c>
      <c r="J297" s="7"/>
      <c r="K297" s="7"/>
      <c r="L297" s="19"/>
      <c r="M297" s="19" t="s">
        <v>2</v>
      </c>
      <c r="N297" s="114"/>
      <c r="O297" s="6"/>
      <c r="P297" s="112" t="str">
        <f>IF(Tabela3[[#This Row],[RETIRADA APÓS CALIBRAÇÃO (STANDBY)]]="","",Tabela3[[#This Row],[RETIRADA APÓS CALIBRAÇÃO (STANDBY)]]+90)</f>
        <v/>
      </c>
    </row>
    <row r="298" spans="1:16" ht="54.95" customHeight="1" x14ac:dyDescent="0.5">
      <c r="A298" s="39"/>
      <c r="B298" s="14" t="s">
        <v>1179</v>
      </c>
      <c r="C298" s="4" t="s">
        <v>920</v>
      </c>
      <c r="D298" s="7" t="s">
        <v>1181</v>
      </c>
      <c r="E298" s="7" t="s">
        <v>922</v>
      </c>
      <c r="F298" s="7" t="s">
        <v>1183</v>
      </c>
      <c r="G298" s="7"/>
      <c r="H298" s="7" t="s">
        <v>1114</v>
      </c>
      <c r="I298" s="19" t="s">
        <v>1182</v>
      </c>
      <c r="J298" s="7"/>
      <c r="K298" s="7"/>
      <c r="L298" s="19"/>
      <c r="M298" s="19" t="s">
        <v>2</v>
      </c>
      <c r="N298" s="114"/>
      <c r="O298" s="6"/>
      <c r="P298" s="112" t="str">
        <f>IF(Tabela3[[#This Row],[RETIRADA APÓS CALIBRAÇÃO (STANDBY)]]="","",Tabela3[[#This Row],[RETIRADA APÓS CALIBRAÇÃO (STANDBY)]]+365)</f>
        <v/>
      </c>
    </row>
    <row r="299" spans="1:16" ht="54.95" customHeight="1" x14ac:dyDescent="0.5">
      <c r="A299" s="39"/>
      <c r="B299" s="14" t="s">
        <v>1180</v>
      </c>
      <c r="C299" s="4" t="s">
        <v>920</v>
      </c>
      <c r="D299" s="7" t="s">
        <v>1181</v>
      </c>
      <c r="E299" s="7" t="s">
        <v>922</v>
      </c>
      <c r="F299" s="7" t="s">
        <v>1184</v>
      </c>
      <c r="G299" s="7"/>
      <c r="H299" s="7" t="s">
        <v>1114</v>
      </c>
      <c r="I299" s="19" t="s">
        <v>1182</v>
      </c>
      <c r="J299" s="7"/>
      <c r="K299" s="7"/>
      <c r="L299" s="19"/>
      <c r="M299" s="19" t="s">
        <v>2</v>
      </c>
      <c r="N299" s="114"/>
      <c r="O299" s="6"/>
      <c r="P299" s="112" t="str">
        <f>IF(Tabela3[[#This Row],[RETIRADA APÓS CALIBRAÇÃO (STANDBY)]]="","",Tabela3[[#This Row],[RETIRADA APÓS CALIBRAÇÃO (STANDBY)]]+365)</f>
        <v/>
      </c>
    </row>
    <row r="300" spans="1:16" ht="54.95" customHeight="1" x14ac:dyDescent="0.5">
      <c r="A300" s="39"/>
      <c r="B300" s="14" t="s">
        <v>1186</v>
      </c>
      <c r="C300" s="4" t="s">
        <v>920</v>
      </c>
      <c r="D300" s="7" t="s">
        <v>1188</v>
      </c>
      <c r="E300" s="7" t="s">
        <v>1187</v>
      </c>
      <c r="F300" s="7"/>
      <c r="G300" s="7"/>
      <c r="H300" s="7" t="s">
        <v>1114</v>
      </c>
      <c r="I300" s="19" t="s">
        <v>1177</v>
      </c>
      <c r="J300" s="7"/>
      <c r="K300" s="7"/>
      <c r="L300" s="19"/>
      <c r="M300" s="19" t="s">
        <v>2</v>
      </c>
      <c r="N300" s="114"/>
      <c r="O300" s="6"/>
      <c r="P300" s="112" t="str">
        <f>IF(Tabela3[[#This Row],[RETIRADA APÓS CALIBRAÇÃO (STANDBY)]]="","",Tabela3[[#This Row],[RETIRADA APÓS CALIBRAÇÃO (STANDBY)]]+365)</f>
        <v/>
      </c>
    </row>
    <row r="301" spans="1:16" ht="54.95" customHeight="1" x14ac:dyDescent="0.5">
      <c r="A301" s="39"/>
      <c r="B301" s="14" t="s">
        <v>1189</v>
      </c>
      <c r="C301" s="4" t="s">
        <v>920</v>
      </c>
      <c r="D301" s="7" t="s">
        <v>1190</v>
      </c>
      <c r="E301" s="7"/>
      <c r="F301" s="7"/>
      <c r="G301" s="7"/>
      <c r="H301" s="7" t="s">
        <v>1114</v>
      </c>
      <c r="I301" s="19" t="s">
        <v>1191</v>
      </c>
      <c r="J301" s="7"/>
      <c r="K301" s="7"/>
      <c r="L301" s="19"/>
      <c r="M301" s="19" t="s">
        <v>2</v>
      </c>
      <c r="N301" s="114"/>
      <c r="O301" s="6"/>
      <c r="P301" s="112" t="str">
        <f>IF(Tabela3[[#This Row],[RETIRADA APÓS CALIBRAÇÃO (STANDBY)]]="","",Tabela3[[#This Row],[RETIRADA APÓS CALIBRAÇÃO (STANDBY)]]+365)</f>
        <v/>
      </c>
    </row>
    <row r="302" spans="1:16" ht="54.95" customHeight="1" x14ac:dyDescent="0.25">
      <c r="B302" s="12" t="s">
        <v>1224</v>
      </c>
      <c r="C302" s="9" t="s">
        <v>920</v>
      </c>
      <c r="D302" s="7" t="s">
        <v>1226</v>
      </c>
      <c r="E302" s="7" t="s">
        <v>1225</v>
      </c>
      <c r="F302" s="7" t="s">
        <v>1227</v>
      </c>
      <c r="G302" s="7"/>
      <c r="H302" s="7" t="s">
        <v>44</v>
      </c>
      <c r="I302" s="19" t="s">
        <v>1229</v>
      </c>
      <c r="J302" s="7" t="s">
        <v>1228</v>
      </c>
      <c r="K302" s="7"/>
      <c r="L302" s="19" t="s">
        <v>1230</v>
      </c>
      <c r="M302" s="19" t="s">
        <v>1</v>
      </c>
      <c r="N302" s="114">
        <v>45383</v>
      </c>
      <c r="O302" s="6"/>
      <c r="P302" s="112" t="str">
        <f>IF(Tabela3[[#This Row],[RETIRADA APÓS CALIBRAÇÃO (STANDBY)]]="","",Tabela3[[#This Row],[RETIRADA APÓS CALIBRAÇÃO (STANDBY)]]+365)</f>
        <v/>
      </c>
    </row>
    <row r="303" spans="1:16" ht="54.95" customHeight="1" x14ac:dyDescent="0.25">
      <c r="B303" s="13" t="s">
        <v>972</v>
      </c>
      <c r="C303" s="89" t="s">
        <v>973</v>
      </c>
      <c r="D303" s="86" t="s">
        <v>974</v>
      </c>
      <c r="E303" s="90" t="s">
        <v>491</v>
      </c>
      <c r="F303" s="86"/>
      <c r="G303" s="86" t="s">
        <v>570</v>
      </c>
      <c r="H303" s="9"/>
      <c r="I303" s="41"/>
      <c r="J303" s="5" t="s">
        <v>45</v>
      </c>
      <c r="K303" s="5"/>
      <c r="L303" s="92" t="s">
        <v>1260</v>
      </c>
      <c r="M303" s="91" t="s">
        <v>1</v>
      </c>
      <c r="N303" s="162">
        <v>46213</v>
      </c>
      <c r="O303" s="83">
        <v>46183</v>
      </c>
      <c r="P303" s="112">
        <f>IF(Tabela3[[#This Row],[RETIRADA APÓS CALIBRAÇÃO (STANDBY)]]="","",Tabela3[[#This Row],[RETIRADA APÓS CALIBRAÇÃO (STANDBY)]]+180)</f>
        <v>46363</v>
      </c>
    </row>
    <row r="304" spans="1:16" ht="54.95" customHeight="1" x14ac:dyDescent="0.25">
      <c r="B304" s="3" t="s">
        <v>975</v>
      </c>
      <c r="C304" s="32" t="s">
        <v>976</v>
      </c>
      <c r="D304" s="64" t="s">
        <v>977</v>
      </c>
      <c r="E304" s="4" t="s">
        <v>978</v>
      </c>
      <c r="F304" s="57" t="s">
        <v>979</v>
      </c>
      <c r="G304" s="4"/>
      <c r="H304" s="9" t="s">
        <v>44</v>
      </c>
      <c r="I304" s="41" t="s">
        <v>1279</v>
      </c>
      <c r="J304" s="5" t="s">
        <v>980</v>
      </c>
      <c r="K304" s="5"/>
      <c r="L304" s="41"/>
      <c r="M304" s="41" t="s">
        <v>2</v>
      </c>
      <c r="N304" s="115"/>
      <c r="O304" s="7"/>
      <c r="P304" s="112" t="str">
        <f>IF(Tabela3[[#This Row],[RETIRADA APÓS CALIBRAÇÃO (STANDBY)]]="","",Tabela3[[#This Row],[RETIRADA APÓS CALIBRAÇÃO (STANDBY)]]+365)</f>
        <v/>
      </c>
    </row>
    <row r="305" spans="2:16" ht="54.95" customHeight="1" x14ac:dyDescent="0.25">
      <c r="B305" s="3" t="s">
        <v>981</v>
      </c>
      <c r="C305" s="32" t="s">
        <v>976</v>
      </c>
      <c r="D305" s="64" t="s">
        <v>977</v>
      </c>
      <c r="E305" s="4" t="s">
        <v>978</v>
      </c>
      <c r="F305" s="57" t="s">
        <v>982</v>
      </c>
      <c r="G305" s="4"/>
      <c r="H305" s="9" t="s">
        <v>44</v>
      </c>
      <c r="I305" s="41" t="s">
        <v>1279</v>
      </c>
      <c r="J305" s="5" t="s">
        <v>980</v>
      </c>
      <c r="K305" s="5"/>
      <c r="L305" s="41"/>
      <c r="M305" s="41" t="s">
        <v>2</v>
      </c>
      <c r="N305" s="115"/>
      <c r="O305" s="7"/>
      <c r="P305" s="112" t="str">
        <f>IF(Tabela3[[#This Row],[RETIRADA APÓS CALIBRAÇÃO (STANDBY)]]="","",Tabela3[[#This Row],[RETIRADA APÓS CALIBRAÇÃO (STANDBY)]]+365)</f>
        <v/>
      </c>
    </row>
    <row r="306" spans="2:16" ht="54.95" customHeight="1" x14ac:dyDescent="0.25">
      <c r="B306" s="3" t="s">
        <v>983</v>
      </c>
      <c r="C306" s="32" t="s">
        <v>976</v>
      </c>
      <c r="D306" s="64" t="s">
        <v>984</v>
      </c>
      <c r="E306" s="4" t="s">
        <v>985</v>
      </c>
      <c r="F306" s="57" t="s">
        <v>986</v>
      </c>
      <c r="G306" s="4"/>
      <c r="H306" s="9" t="s">
        <v>44</v>
      </c>
      <c r="I306" s="46" t="s">
        <v>1279</v>
      </c>
      <c r="J306" s="31" t="s">
        <v>980</v>
      </c>
      <c r="K306" s="31"/>
      <c r="L306" s="46"/>
      <c r="M306" s="46" t="s">
        <v>2</v>
      </c>
      <c r="N306" s="119">
        <v>46165</v>
      </c>
      <c r="O306" s="26"/>
      <c r="P306" s="112" t="str">
        <f>IF(Tabela3[[#This Row],[RETIRADA APÓS CALIBRAÇÃO (STANDBY)]]="","",Tabela3[[#This Row],[RETIRADA APÓS CALIBRAÇÃO (STANDBY)]]+365)</f>
        <v/>
      </c>
    </row>
    <row r="307" spans="2:16" ht="85.5" customHeight="1" x14ac:dyDescent="0.25">
      <c r="B307" s="13" t="s">
        <v>987</v>
      </c>
      <c r="C307" s="4" t="s">
        <v>976</v>
      </c>
      <c r="D307" s="64" t="s">
        <v>988</v>
      </c>
      <c r="E307" s="4" t="s">
        <v>989</v>
      </c>
      <c r="F307" s="57" t="s">
        <v>990</v>
      </c>
      <c r="G307" s="4"/>
      <c r="H307" s="9" t="s">
        <v>44</v>
      </c>
      <c r="I307" s="41" t="s">
        <v>991</v>
      </c>
      <c r="J307" s="5" t="s">
        <v>980</v>
      </c>
      <c r="K307" s="5"/>
      <c r="L307" s="41" t="s">
        <v>1196</v>
      </c>
      <c r="M307" s="41" t="s">
        <v>1</v>
      </c>
      <c r="N307" s="6">
        <v>46191</v>
      </c>
      <c r="O307" s="6" t="s">
        <v>313</v>
      </c>
      <c r="P307" s="112" t="e">
        <f>IF(Tabela3[[#This Row],[RETIRADA APÓS CALIBRAÇÃO (STANDBY)]]="","",Tabela3[[#This Row],[RETIRADA APÓS CALIBRAÇÃO (STANDBY)]]+365)</f>
        <v>#VALUE!</v>
      </c>
    </row>
    <row r="308" spans="2:16" ht="54.75" customHeight="1" x14ac:dyDescent="0.25">
      <c r="B308" s="14" t="s">
        <v>993</v>
      </c>
      <c r="C308" s="38" t="s">
        <v>994</v>
      </c>
      <c r="D308" s="7" t="s">
        <v>995</v>
      </c>
      <c r="E308" s="7" t="s">
        <v>996</v>
      </c>
      <c r="F308" s="7">
        <v>10551690</v>
      </c>
      <c r="G308" s="7"/>
      <c r="H308" s="7" t="s">
        <v>415</v>
      </c>
      <c r="I308" s="41" t="s">
        <v>1132</v>
      </c>
      <c r="J308" s="7"/>
      <c r="K308" s="7"/>
      <c r="L308" s="19" t="s">
        <v>1040</v>
      </c>
      <c r="M308" s="19" t="s">
        <v>2</v>
      </c>
      <c r="N308" s="114">
        <v>45793</v>
      </c>
      <c r="O308" s="114">
        <v>45793</v>
      </c>
      <c r="P308" s="112">
        <f>IF(Tabela3[[#This Row],[RETIRADA APÓS CALIBRAÇÃO (STANDBY)]]="","",Tabela3[[#This Row],[RETIRADA APÓS CALIBRAÇÃO (STANDBY)]]+365)</f>
        <v>46158</v>
      </c>
    </row>
    <row r="309" spans="2:16" ht="54.95" customHeight="1" x14ac:dyDescent="0.25">
      <c r="B309" s="14" t="s">
        <v>1131</v>
      </c>
      <c r="C309" s="38" t="s">
        <v>994</v>
      </c>
      <c r="D309" s="7"/>
      <c r="E309" s="7"/>
      <c r="F309" s="7"/>
      <c r="G309" s="7"/>
      <c r="H309" s="7" t="s">
        <v>415</v>
      </c>
      <c r="I309" s="41" t="s">
        <v>1132</v>
      </c>
      <c r="J309" s="7"/>
      <c r="K309" s="7"/>
      <c r="L309" s="19"/>
      <c r="M309" s="19" t="s">
        <v>2</v>
      </c>
      <c r="N309" s="114"/>
      <c r="O309" s="7"/>
      <c r="P309" s="112" t="str">
        <f>IF(Tabela3[[#This Row],[RETIRADA APÓS CALIBRAÇÃO (STANDBY)]]="","",Tabela3[[#This Row],[RETIRADA APÓS CALIBRAÇÃO (STANDBY)]]+365)</f>
        <v/>
      </c>
    </row>
    <row r="310" spans="2:16" ht="30" x14ac:dyDescent="0.25">
      <c r="B310" s="28" t="s">
        <v>997</v>
      </c>
      <c r="C310" s="29" t="s">
        <v>998</v>
      </c>
      <c r="D310" s="30" t="s">
        <v>999</v>
      </c>
      <c r="E310" s="30" t="s">
        <v>1000</v>
      </c>
      <c r="F310" s="30">
        <v>1931</v>
      </c>
      <c r="G310" s="30"/>
      <c r="H310" s="62" t="s">
        <v>11</v>
      </c>
      <c r="I310" s="45"/>
      <c r="J310" s="26" t="s">
        <v>129</v>
      </c>
      <c r="K310" s="26" t="s">
        <v>1001</v>
      </c>
      <c r="L310" s="45" t="s">
        <v>1002</v>
      </c>
      <c r="M310" s="45" t="s">
        <v>1</v>
      </c>
      <c r="N310" s="37">
        <v>46050</v>
      </c>
      <c r="O310" s="37">
        <v>46050</v>
      </c>
      <c r="P310" s="160">
        <f>IF(Tabela3[[#This Row],[RETIRADA APÓS CALIBRAÇÃO (STANDBY)]]="","",Tabela3[[#This Row],[RETIRADA APÓS CALIBRAÇÃO (STANDBY)]]+365)</f>
        <v>46415</v>
      </c>
    </row>
    <row r="314" spans="2:16" x14ac:dyDescent="0.25">
      <c r="I314" s="65"/>
    </row>
    <row r="318" spans="2:16" ht="14.25" customHeight="1" x14ac:dyDescent="0.25"/>
    <row r="319" spans="2:16" hidden="1" x14ac:dyDescent="0.25"/>
    <row r="350" spans="2:16" ht="31.5" x14ac:dyDescent="0.5">
      <c r="B350" s="39"/>
      <c r="C350" s="39"/>
      <c r="D350" s="39"/>
      <c r="E350" s="39"/>
      <c r="F350" s="39"/>
      <c r="G350" s="39"/>
      <c r="H350" s="39"/>
      <c r="I350" s="126"/>
      <c r="J350" s="39"/>
      <c r="K350" s="39"/>
      <c r="L350" s="126"/>
      <c r="M350" s="126"/>
      <c r="N350" s="127"/>
      <c r="O350" s="39"/>
      <c r="P350" s="128"/>
    </row>
    <row r="351" spans="2:16" ht="31.5" x14ac:dyDescent="0.5">
      <c r="B351" s="39"/>
      <c r="C351" s="39"/>
      <c r="D351" s="39"/>
      <c r="E351" s="39"/>
      <c r="F351" s="39"/>
      <c r="G351" s="39"/>
      <c r="H351" s="39"/>
      <c r="I351" s="126"/>
      <c r="J351" s="39"/>
      <c r="K351" s="39"/>
      <c r="L351" s="126"/>
      <c r="M351" s="126"/>
      <c r="N351" s="127"/>
      <c r="O351" s="39"/>
      <c r="P351" s="128"/>
    </row>
    <row r="352" spans="2:16" ht="31.5" x14ac:dyDescent="0.5">
      <c r="B352" s="39"/>
      <c r="C352" s="39"/>
      <c r="D352" s="39"/>
      <c r="E352" s="39"/>
      <c r="F352" s="39"/>
      <c r="G352" s="39"/>
      <c r="H352" s="39"/>
      <c r="I352" s="126"/>
      <c r="J352" s="39"/>
      <c r="K352" s="39"/>
      <c r="L352" s="126"/>
      <c r="M352" s="126"/>
      <c r="N352" s="127"/>
      <c r="O352" s="39"/>
      <c r="P352" s="128"/>
    </row>
    <row r="353" spans="2:16" ht="31.5" x14ac:dyDescent="0.5">
      <c r="B353" s="39"/>
      <c r="C353" s="39"/>
      <c r="D353" s="39"/>
      <c r="E353" s="39"/>
      <c r="F353" s="39"/>
      <c r="G353" s="39"/>
      <c r="H353" s="39"/>
      <c r="I353" s="126"/>
      <c r="J353" s="39"/>
      <c r="K353" s="39"/>
      <c r="L353" s="126"/>
      <c r="M353" s="126"/>
      <c r="N353" s="127"/>
      <c r="O353" s="39"/>
      <c r="P353" s="128"/>
    </row>
    <row r="354" spans="2:16" ht="31.5" x14ac:dyDescent="0.5">
      <c r="B354" s="39"/>
      <c r="C354" s="39"/>
      <c r="D354" s="39"/>
      <c r="E354" s="39"/>
      <c r="F354" s="39"/>
      <c r="G354" s="39"/>
      <c r="H354" s="39"/>
      <c r="I354" s="126"/>
      <c r="J354" s="39"/>
      <c r="K354" s="39"/>
      <c r="L354" s="126"/>
      <c r="M354" s="126"/>
      <c r="N354" s="127"/>
      <c r="O354" s="39"/>
      <c r="P354" s="128"/>
    </row>
    <row r="355" spans="2:16" ht="31.5" x14ac:dyDescent="0.5">
      <c r="B355" s="39"/>
      <c r="C355" s="39"/>
      <c r="D355" s="39"/>
      <c r="E355" s="39"/>
      <c r="F355" s="39"/>
      <c r="G355" s="39"/>
      <c r="H355" s="39"/>
      <c r="I355" s="126"/>
      <c r="J355" s="39"/>
      <c r="K355" s="39"/>
      <c r="L355" s="126"/>
      <c r="M355" s="126"/>
      <c r="N355" s="127"/>
      <c r="O355" s="39"/>
      <c r="P355" s="128"/>
    </row>
    <row r="356" spans="2:16" ht="31.5" x14ac:dyDescent="0.5">
      <c r="B356" s="39"/>
      <c r="C356" s="39"/>
      <c r="D356" s="39"/>
      <c r="E356" s="39"/>
      <c r="F356" s="39"/>
      <c r="G356" s="39"/>
      <c r="H356" s="39"/>
      <c r="I356" s="126"/>
      <c r="J356" s="39"/>
      <c r="K356" s="39"/>
      <c r="L356" s="126"/>
      <c r="M356" s="126"/>
      <c r="N356" s="127"/>
      <c r="O356" s="39"/>
      <c r="P356" s="128"/>
    </row>
    <row r="357" spans="2:16" ht="31.5" x14ac:dyDescent="0.5">
      <c r="B357" s="39"/>
      <c r="C357" s="39"/>
      <c r="D357" s="39"/>
      <c r="E357" s="39"/>
      <c r="F357" s="39"/>
      <c r="G357" s="39"/>
      <c r="H357" s="39"/>
      <c r="I357" s="126"/>
      <c r="J357" s="39"/>
      <c r="K357" s="39"/>
      <c r="L357" s="126"/>
      <c r="M357" s="126"/>
      <c r="N357" s="127"/>
      <c r="O357" s="39"/>
      <c r="P357" s="128"/>
    </row>
    <row r="358" spans="2:16" ht="31.5" x14ac:dyDescent="0.5">
      <c r="B358" s="39"/>
      <c r="C358" s="39"/>
      <c r="D358" s="39"/>
      <c r="E358" s="39"/>
      <c r="F358" s="39"/>
      <c r="G358" s="39"/>
      <c r="H358" s="39"/>
      <c r="I358" s="126"/>
      <c r="J358" s="39"/>
      <c r="K358" s="39"/>
      <c r="L358" s="126"/>
      <c r="M358" s="126"/>
      <c r="N358" s="127"/>
      <c r="O358" s="39"/>
      <c r="P358" s="128"/>
    </row>
    <row r="359" spans="2:16" ht="31.5" x14ac:dyDescent="0.5">
      <c r="B359" s="39"/>
      <c r="C359" s="39"/>
      <c r="D359" s="39"/>
      <c r="E359" s="39"/>
      <c r="F359" s="39"/>
      <c r="G359" s="39"/>
      <c r="H359" s="39"/>
      <c r="I359" s="126"/>
      <c r="J359" s="39"/>
      <c r="K359" s="39"/>
      <c r="L359" s="126"/>
      <c r="M359" s="126"/>
      <c r="N359" s="127"/>
      <c r="O359" s="39"/>
      <c r="P359" s="128"/>
    </row>
    <row r="360" spans="2:16" ht="31.5" x14ac:dyDescent="0.5">
      <c r="B360" s="39"/>
      <c r="C360" s="39"/>
      <c r="D360" s="39"/>
      <c r="E360" s="39"/>
      <c r="F360" s="39"/>
      <c r="G360" s="39"/>
      <c r="H360" s="39"/>
      <c r="I360" s="126"/>
      <c r="J360" s="39"/>
      <c r="K360" s="39"/>
      <c r="L360" s="126"/>
      <c r="M360" s="126"/>
      <c r="N360" s="127"/>
      <c r="O360" s="39"/>
      <c r="P360" s="128"/>
    </row>
    <row r="361" spans="2:16" ht="31.5" x14ac:dyDescent="0.5">
      <c r="B361" s="39"/>
      <c r="C361" s="39"/>
      <c r="D361" s="39"/>
      <c r="E361" s="39"/>
      <c r="F361" s="39"/>
      <c r="G361" s="39"/>
      <c r="H361" s="39"/>
      <c r="I361" s="126"/>
      <c r="J361" s="39"/>
      <c r="K361" s="39"/>
      <c r="L361" s="126"/>
      <c r="M361" s="126"/>
      <c r="N361" s="127"/>
      <c r="O361" s="39"/>
      <c r="P361" s="128"/>
    </row>
    <row r="362" spans="2:16" ht="31.5" x14ac:dyDescent="0.5">
      <c r="B362" s="39"/>
      <c r="C362" s="39"/>
      <c r="D362" s="39"/>
      <c r="E362" s="39"/>
      <c r="F362" s="39"/>
      <c r="G362" s="39"/>
      <c r="H362" s="39"/>
      <c r="I362" s="126"/>
      <c r="J362" s="39"/>
      <c r="K362" s="39"/>
      <c r="L362" s="126"/>
      <c r="M362" s="126"/>
      <c r="N362" s="127"/>
      <c r="O362" s="39"/>
      <c r="P362" s="128"/>
    </row>
    <row r="363" spans="2:16" ht="31.5" x14ac:dyDescent="0.5">
      <c r="B363" s="39"/>
      <c r="C363" s="39"/>
      <c r="D363" s="39"/>
      <c r="E363" s="39"/>
      <c r="F363" s="39"/>
      <c r="G363" s="39"/>
      <c r="H363" s="39"/>
      <c r="I363" s="126"/>
      <c r="J363" s="39"/>
      <c r="K363" s="39"/>
      <c r="L363" s="126"/>
      <c r="M363" s="126"/>
      <c r="N363" s="127"/>
      <c r="O363" s="39"/>
      <c r="P363" s="128"/>
    </row>
    <row r="364" spans="2:16" ht="31.5" x14ac:dyDescent="0.5">
      <c r="B364" s="39"/>
      <c r="C364" s="39"/>
      <c r="D364" s="39"/>
      <c r="E364" s="39"/>
      <c r="F364" s="39"/>
      <c r="G364" s="39"/>
      <c r="H364" s="39"/>
      <c r="I364" s="126"/>
      <c r="J364" s="39"/>
      <c r="K364" s="39"/>
      <c r="L364" s="126"/>
      <c r="M364" s="126"/>
      <c r="N364" s="127"/>
      <c r="O364" s="39"/>
      <c r="P364" s="128"/>
    </row>
    <row r="365" spans="2:16" ht="31.5" x14ac:dyDescent="0.5">
      <c r="B365" s="39"/>
      <c r="C365" s="39"/>
      <c r="D365" s="39"/>
      <c r="E365" s="39"/>
      <c r="F365" s="39"/>
      <c r="G365" s="39"/>
      <c r="H365" s="39"/>
      <c r="I365" s="126"/>
      <c r="J365" s="39"/>
      <c r="K365" s="39"/>
      <c r="L365" s="126"/>
      <c r="M365" s="126"/>
      <c r="N365" s="127"/>
      <c r="O365" s="39"/>
      <c r="P365" s="128"/>
    </row>
    <row r="366" spans="2:16" ht="31.5" x14ac:dyDescent="0.5">
      <c r="B366" s="39"/>
      <c r="C366" s="39"/>
      <c r="D366" s="39"/>
      <c r="E366" s="39"/>
      <c r="F366" s="39"/>
      <c r="G366" s="39"/>
      <c r="H366" s="39"/>
      <c r="I366" s="126"/>
      <c r="J366" s="39"/>
      <c r="K366" s="39"/>
      <c r="L366" s="126"/>
      <c r="M366" s="126"/>
      <c r="N366" s="127"/>
      <c r="O366" s="39"/>
      <c r="P366" s="128"/>
    </row>
    <row r="367" spans="2:16" ht="31.5" x14ac:dyDescent="0.5">
      <c r="B367" s="39"/>
      <c r="C367" s="39"/>
      <c r="D367" s="39"/>
      <c r="E367" s="39"/>
      <c r="F367" s="39"/>
      <c r="G367" s="39"/>
      <c r="H367" s="39"/>
      <c r="I367" s="126"/>
      <c r="J367" s="39"/>
      <c r="K367" s="39"/>
      <c r="L367" s="126"/>
      <c r="M367" s="126"/>
      <c r="N367" s="127"/>
      <c r="O367" s="39"/>
      <c r="P367" s="128"/>
    </row>
    <row r="368" spans="2:16" ht="31.5" x14ac:dyDescent="0.5">
      <c r="B368" s="39"/>
      <c r="C368" s="39"/>
      <c r="D368" s="39"/>
      <c r="E368" s="39"/>
      <c r="F368" s="39"/>
      <c r="G368" s="39"/>
      <c r="H368" s="39"/>
      <c r="I368" s="126"/>
      <c r="J368" s="39"/>
      <c r="K368" s="39"/>
      <c r="L368" s="126"/>
      <c r="M368" s="126"/>
      <c r="N368" s="127"/>
      <c r="O368" s="39"/>
      <c r="P368" s="128"/>
    </row>
    <row r="369" spans="2:16" ht="31.5" x14ac:dyDescent="0.5">
      <c r="B369" s="39"/>
      <c r="C369" s="39"/>
      <c r="D369" s="39"/>
      <c r="E369" s="39"/>
      <c r="F369" s="39"/>
      <c r="G369" s="39"/>
      <c r="H369" s="39"/>
      <c r="I369" s="126"/>
      <c r="J369" s="39"/>
      <c r="K369" s="39"/>
      <c r="L369" s="126"/>
      <c r="M369" s="126"/>
      <c r="N369" s="127"/>
      <c r="O369" s="39"/>
      <c r="P369" s="128"/>
    </row>
    <row r="370" spans="2:16" ht="31.5" x14ac:dyDescent="0.5">
      <c r="B370" s="39"/>
      <c r="C370" s="39"/>
      <c r="D370" s="39"/>
      <c r="E370" s="39"/>
      <c r="F370" s="39"/>
      <c r="G370" s="39"/>
      <c r="H370" s="39"/>
      <c r="I370" s="126"/>
      <c r="J370" s="39"/>
      <c r="K370" s="39"/>
      <c r="L370" s="126"/>
      <c r="M370" s="126"/>
      <c r="N370" s="127"/>
      <c r="O370" s="39"/>
      <c r="P370" s="128"/>
    </row>
    <row r="371" spans="2:16" ht="31.5" x14ac:dyDescent="0.5">
      <c r="B371" s="39"/>
      <c r="C371" s="39"/>
      <c r="D371" s="39"/>
      <c r="E371" s="39"/>
      <c r="F371" s="39"/>
      <c r="G371" s="39"/>
      <c r="H371" s="39"/>
      <c r="I371" s="126"/>
      <c r="J371" s="39"/>
      <c r="K371" s="39"/>
      <c r="L371" s="126"/>
      <c r="M371" s="126"/>
      <c r="N371" s="127"/>
      <c r="O371" s="39"/>
      <c r="P371" s="128"/>
    </row>
    <row r="372" spans="2:16" ht="31.5" x14ac:dyDescent="0.5">
      <c r="B372" s="39"/>
      <c r="C372" s="39"/>
      <c r="D372" s="39"/>
      <c r="E372" s="39"/>
      <c r="F372" s="39"/>
      <c r="G372" s="39"/>
      <c r="H372" s="39"/>
      <c r="I372" s="126"/>
      <c r="J372" s="39"/>
      <c r="K372" s="39"/>
      <c r="L372" s="126"/>
      <c r="M372" s="126"/>
      <c r="N372" s="127"/>
      <c r="O372" s="39"/>
      <c r="P372" s="128"/>
    </row>
    <row r="373" spans="2:16" ht="31.5" x14ac:dyDescent="0.5">
      <c r="B373" s="39"/>
      <c r="C373" s="39"/>
      <c r="D373" s="39"/>
      <c r="E373" s="39"/>
      <c r="F373" s="39"/>
      <c r="G373" s="39"/>
      <c r="H373" s="39"/>
      <c r="I373" s="126"/>
      <c r="J373" s="39"/>
      <c r="K373" s="39"/>
      <c r="L373" s="126"/>
      <c r="M373" s="126"/>
      <c r="N373" s="127"/>
      <c r="O373" s="39"/>
      <c r="P373" s="128"/>
    </row>
    <row r="374" spans="2:16" ht="31.5" x14ac:dyDescent="0.5">
      <c r="B374" s="39"/>
      <c r="C374" s="39"/>
      <c r="D374" s="39"/>
      <c r="E374" s="39"/>
      <c r="F374" s="39"/>
      <c r="G374" s="39"/>
      <c r="H374" s="39"/>
      <c r="I374" s="126"/>
      <c r="J374" s="39"/>
      <c r="K374" s="39"/>
      <c r="L374" s="126"/>
      <c r="M374" s="126"/>
      <c r="N374" s="127"/>
      <c r="O374" s="39"/>
      <c r="P374" s="128"/>
    </row>
    <row r="375" spans="2:16" ht="31.5" x14ac:dyDescent="0.5">
      <c r="B375" s="39"/>
      <c r="C375" s="39"/>
      <c r="D375" s="39"/>
      <c r="E375" s="39"/>
      <c r="F375" s="39"/>
      <c r="G375" s="39"/>
      <c r="H375" s="39"/>
      <c r="I375" s="126"/>
      <c r="J375" s="39"/>
      <c r="K375" s="39"/>
      <c r="L375" s="126"/>
      <c r="M375" s="126"/>
      <c r="N375" s="127"/>
      <c r="O375" s="39"/>
      <c r="P375" s="128"/>
    </row>
    <row r="376" spans="2:16" ht="31.5" x14ac:dyDescent="0.5">
      <c r="B376" s="39"/>
      <c r="C376" s="39"/>
      <c r="D376" s="39"/>
      <c r="E376" s="39"/>
      <c r="F376" s="39"/>
      <c r="G376" s="39"/>
      <c r="H376" s="39"/>
      <c r="I376" s="126"/>
      <c r="J376" s="39"/>
      <c r="K376" s="39"/>
      <c r="L376" s="126"/>
      <c r="M376" s="126"/>
      <c r="N376" s="127"/>
      <c r="O376" s="39"/>
      <c r="P376" s="128"/>
    </row>
    <row r="377" spans="2:16" ht="31.5" x14ac:dyDescent="0.5">
      <c r="B377" s="39"/>
      <c r="C377" s="39"/>
      <c r="D377" s="39"/>
      <c r="E377" s="39"/>
      <c r="F377" s="39"/>
      <c r="G377" s="39"/>
      <c r="H377" s="39"/>
      <c r="I377" s="126"/>
      <c r="J377" s="39"/>
      <c r="K377" s="39"/>
      <c r="L377" s="126"/>
      <c r="M377" s="126"/>
      <c r="N377" s="127"/>
      <c r="O377" s="39"/>
      <c r="P377" s="128"/>
    </row>
    <row r="378" spans="2:16" ht="31.5" x14ac:dyDescent="0.5">
      <c r="B378" s="39"/>
      <c r="C378" s="39"/>
      <c r="D378" s="39"/>
      <c r="E378" s="39"/>
      <c r="F378" s="39"/>
      <c r="G378" s="39"/>
      <c r="H378" s="39"/>
      <c r="I378" s="126"/>
      <c r="J378" s="39"/>
      <c r="K378" s="39"/>
      <c r="L378" s="126"/>
      <c r="M378" s="126"/>
      <c r="N378" s="127"/>
      <c r="O378" s="39"/>
      <c r="P378" s="128"/>
    </row>
    <row r="379" spans="2:16" ht="31.5" x14ac:dyDescent="0.5">
      <c r="B379" s="39"/>
      <c r="C379" s="39"/>
      <c r="D379" s="39"/>
      <c r="E379" s="39"/>
      <c r="F379" s="39"/>
      <c r="G379" s="39"/>
      <c r="H379" s="39"/>
      <c r="I379" s="126"/>
      <c r="J379" s="39"/>
      <c r="K379" s="39"/>
      <c r="L379" s="126"/>
      <c r="M379" s="126"/>
      <c r="N379" s="127"/>
      <c r="O379" s="39"/>
      <c r="P379" s="128"/>
    </row>
    <row r="380" spans="2:16" ht="31.5" x14ac:dyDescent="0.5">
      <c r="B380" s="39"/>
      <c r="C380" s="39"/>
      <c r="D380" s="39"/>
      <c r="E380" s="39"/>
      <c r="F380" s="39"/>
      <c r="G380" s="39"/>
      <c r="H380" s="39"/>
      <c r="I380" s="126"/>
      <c r="J380" s="39"/>
      <c r="K380" s="39"/>
      <c r="L380" s="126"/>
      <c r="M380" s="126"/>
      <c r="N380" s="127"/>
      <c r="O380" s="39"/>
      <c r="P380" s="128"/>
    </row>
    <row r="381" spans="2:16" ht="31.5" x14ac:dyDescent="0.5">
      <c r="B381" s="39"/>
      <c r="C381" s="39"/>
      <c r="D381" s="39"/>
      <c r="E381" s="39"/>
      <c r="F381" s="39"/>
      <c r="G381" s="39"/>
      <c r="H381" s="39"/>
      <c r="I381" s="126"/>
      <c r="J381" s="39"/>
      <c r="K381" s="39"/>
      <c r="L381" s="126"/>
      <c r="M381" s="126"/>
      <c r="N381" s="127"/>
      <c r="O381" s="39"/>
      <c r="P381" s="128"/>
    </row>
    <row r="382" spans="2:16" ht="31.5" x14ac:dyDescent="0.5">
      <c r="B382" s="39"/>
      <c r="C382" s="39"/>
      <c r="D382" s="39"/>
      <c r="E382" s="39"/>
      <c r="F382" s="39"/>
      <c r="G382" s="39"/>
      <c r="H382" s="39"/>
      <c r="I382" s="126"/>
      <c r="J382" s="39"/>
      <c r="K382" s="39"/>
      <c r="L382" s="126"/>
      <c r="M382" s="126"/>
      <c r="N382" s="127"/>
      <c r="O382" s="39"/>
      <c r="P382" s="128"/>
    </row>
    <row r="383" spans="2:16" ht="31.5" x14ac:dyDescent="0.5">
      <c r="B383" s="39"/>
      <c r="C383" s="39"/>
      <c r="D383" s="39"/>
      <c r="E383" s="39"/>
      <c r="F383" s="39"/>
      <c r="G383" s="39"/>
      <c r="H383" s="39"/>
      <c r="I383" s="126"/>
      <c r="J383" s="39"/>
      <c r="K383" s="39"/>
      <c r="L383" s="126"/>
      <c r="M383" s="126"/>
      <c r="N383" s="127"/>
      <c r="O383" s="39"/>
      <c r="P383" s="128"/>
    </row>
    <row r="384" spans="2:16" ht="31.5" x14ac:dyDescent="0.5">
      <c r="B384" s="39"/>
      <c r="C384" s="39"/>
      <c r="D384" s="39"/>
      <c r="E384" s="39"/>
      <c r="F384" s="39"/>
      <c r="G384" s="39"/>
      <c r="H384" s="39"/>
      <c r="I384" s="126"/>
      <c r="J384" s="39"/>
      <c r="K384" s="39"/>
      <c r="L384" s="126"/>
      <c r="M384" s="126"/>
      <c r="N384" s="127"/>
      <c r="O384" s="39"/>
      <c r="P384" s="128"/>
    </row>
    <row r="385" spans="2:16" ht="31.5" x14ac:dyDescent="0.5">
      <c r="B385" s="39"/>
      <c r="C385" s="39"/>
      <c r="D385" s="39"/>
      <c r="E385" s="39"/>
      <c r="F385" s="39"/>
      <c r="G385" s="39"/>
      <c r="H385" s="39"/>
      <c r="I385" s="126"/>
      <c r="J385" s="39"/>
      <c r="K385" s="39"/>
      <c r="L385" s="126"/>
      <c r="M385" s="126"/>
      <c r="N385" s="127"/>
      <c r="O385" s="39"/>
      <c r="P385" s="128"/>
    </row>
    <row r="386" spans="2:16" ht="31.5" x14ac:dyDescent="0.5">
      <c r="B386" s="39"/>
      <c r="C386" s="39"/>
      <c r="D386" s="39"/>
      <c r="E386" s="39"/>
      <c r="F386" s="39"/>
      <c r="G386" s="39"/>
      <c r="H386" s="39"/>
      <c r="I386" s="126"/>
      <c r="J386" s="39"/>
      <c r="K386" s="39"/>
      <c r="L386" s="126"/>
      <c r="M386" s="126"/>
      <c r="N386" s="127"/>
      <c r="O386" s="39"/>
      <c r="P386" s="128"/>
    </row>
    <row r="387" spans="2:16" ht="31.5" x14ac:dyDescent="0.5">
      <c r="B387" s="39"/>
      <c r="C387" s="39"/>
      <c r="D387" s="39"/>
      <c r="E387" s="39"/>
      <c r="F387" s="39"/>
      <c r="G387" s="39"/>
      <c r="H387" s="39"/>
      <c r="I387" s="126"/>
      <c r="J387" s="39"/>
      <c r="K387" s="39"/>
      <c r="L387" s="126"/>
      <c r="M387" s="126"/>
      <c r="N387" s="127"/>
      <c r="O387" s="39"/>
      <c r="P387" s="128"/>
    </row>
    <row r="388" spans="2:16" ht="31.5" x14ac:dyDescent="0.5">
      <c r="B388" s="39"/>
      <c r="C388" s="39"/>
      <c r="D388" s="39"/>
      <c r="E388" s="39"/>
      <c r="F388" s="39"/>
      <c r="G388" s="39"/>
      <c r="H388" s="39"/>
      <c r="I388" s="126"/>
      <c r="J388" s="39"/>
      <c r="K388" s="39"/>
      <c r="L388" s="126"/>
      <c r="M388" s="126"/>
      <c r="N388" s="127"/>
      <c r="O388" s="39"/>
      <c r="P388" s="128"/>
    </row>
    <row r="389" spans="2:16" ht="31.5" x14ac:dyDescent="0.5">
      <c r="B389" s="39"/>
      <c r="C389" s="39"/>
      <c r="D389" s="39"/>
      <c r="E389" s="39"/>
      <c r="F389" s="39"/>
      <c r="G389" s="39"/>
      <c r="H389" s="39"/>
      <c r="I389" s="126"/>
      <c r="J389" s="39"/>
      <c r="K389" s="39"/>
      <c r="L389" s="126"/>
      <c r="M389" s="126"/>
      <c r="N389" s="127"/>
      <c r="O389" s="39"/>
      <c r="P389" s="128"/>
    </row>
    <row r="390" spans="2:16" ht="31.5" x14ac:dyDescent="0.5">
      <c r="B390" s="39"/>
      <c r="C390" s="39"/>
      <c r="D390" s="39"/>
      <c r="E390" s="39"/>
      <c r="F390" s="39"/>
      <c r="G390" s="39"/>
      <c r="H390" s="39"/>
      <c r="I390" s="126"/>
      <c r="J390" s="39"/>
      <c r="K390" s="39"/>
      <c r="L390" s="126"/>
      <c r="M390" s="126"/>
      <c r="N390" s="127"/>
      <c r="O390" s="39"/>
      <c r="P390" s="128"/>
    </row>
    <row r="391" spans="2:16" ht="31.5" x14ac:dyDescent="0.5">
      <c r="B391" s="39"/>
      <c r="C391" s="39"/>
      <c r="D391" s="39"/>
      <c r="E391" s="39"/>
      <c r="F391" s="39"/>
      <c r="G391" s="39"/>
      <c r="H391" s="39"/>
      <c r="I391" s="126"/>
      <c r="J391" s="39"/>
      <c r="K391" s="39"/>
      <c r="L391" s="126"/>
      <c r="M391" s="126"/>
      <c r="N391" s="127"/>
      <c r="O391" s="39"/>
      <c r="P391" s="128"/>
    </row>
    <row r="392" spans="2:16" ht="31.5" x14ac:dyDescent="0.5">
      <c r="B392" s="39"/>
      <c r="C392" s="39"/>
      <c r="D392" s="39"/>
      <c r="E392" s="39"/>
      <c r="F392" s="39"/>
      <c r="G392" s="39"/>
      <c r="H392" s="39"/>
      <c r="I392" s="126"/>
      <c r="J392" s="39"/>
      <c r="K392" s="39"/>
      <c r="L392" s="126"/>
      <c r="M392" s="126"/>
      <c r="N392" s="127"/>
      <c r="O392" s="39"/>
      <c r="P392" s="128"/>
    </row>
    <row r="393" spans="2:16" ht="31.5" x14ac:dyDescent="0.5">
      <c r="B393" s="39"/>
      <c r="C393" s="39"/>
      <c r="D393" s="39"/>
      <c r="E393" s="39"/>
      <c r="F393" s="39"/>
      <c r="G393" s="39"/>
      <c r="H393" s="39"/>
      <c r="I393" s="126"/>
      <c r="J393" s="39"/>
      <c r="K393" s="39"/>
      <c r="L393" s="126"/>
      <c r="M393" s="126"/>
      <c r="N393" s="127"/>
      <c r="O393" s="39"/>
      <c r="P393" s="128"/>
    </row>
    <row r="394" spans="2:16" ht="31.5" x14ac:dyDescent="0.5">
      <c r="B394" s="39"/>
      <c r="C394" s="39"/>
      <c r="D394" s="39"/>
      <c r="E394" s="39"/>
      <c r="F394" s="39"/>
      <c r="G394" s="39"/>
      <c r="H394" s="39"/>
      <c r="I394" s="126"/>
      <c r="J394" s="39"/>
      <c r="K394" s="39"/>
      <c r="L394" s="126"/>
      <c r="M394" s="126"/>
      <c r="N394" s="127"/>
      <c r="O394" s="39"/>
      <c r="P394" s="128"/>
    </row>
    <row r="395" spans="2:16" ht="31.5" x14ac:dyDescent="0.5">
      <c r="B395" s="39"/>
      <c r="C395" s="39"/>
      <c r="D395" s="39"/>
      <c r="E395" s="39"/>
      <c r="F395" s="39"/>
      <c r="G395" s="39"/>
      <c r="H395" s="39"/>
      <c r="I395" s="126"/>
      <c r="J395" s="39"/>
      <c r="K395" s="39"/>
      <c r="L395" s="126"/>
      <c r="M395" s="126"/>
      <c r="N395" s="127"/>
      <c r="O395" s="39"/>
      <c r="P395" s="128"/>
    </row>
    <row r="396" spans="2:16" ht="31.5" x14ac:dyDescent="0.5">
      <c r="B396" s="39"/>
      <c r="C396" s="39"/>
      <c r="D396" s="39"/>
      <c r="E396" s="39"/>
      <c r="F396" s="39"/>
      <c r="G396" s="39"/>
      <c r="H396" s="39"/>
      <c r="I396" s="126"/>
      <c r="J396" s="39"/>
      <c r="K396" s="39"/>
      <c r="L396" s="126"/>
      <c r="M396" s="126"/>
      <c r="N396" s="127"/>
      <c r="O396" s="39"/>
      <c r="P396" s="128"/>
    </row>
    <row r="397" spans="2:16" ht="31.5" x14ac:dyDescent="0.5">
      <c r="B397" s="39"/>
      <c r="C397" s="39"/>
      <c r="D397" s="39"/>
      <c r="E397" s="39"/>
      <c r="F397" s="39"/>
      <c r="G397" s="39"/>
      <c r="H397" s="39"/>
      <c r="I397" s="126"/>
      <c r="J397" s="39"/>
      <c r="K397" s="39"/>
      <c r="L397" s="126"/>
      <c r="M397" s="126"/>
      <c r="N397" s="127"/>
      <c r="O397" s="39"/>
      <c r="P397" s="128"/>
    </row>
    <row r="398" spans="2:16" ht="31.5" x14ac:dyDescent="0.5">
      <c r="B398" s="39"/>
      <c r="C398" s="39"/>
      <c r="D398" s="39"/>
      <c r="E398" s="39"/>
      <c r="F398" s="39"/>
      <c r="G398" s="39"/>
      <c r="H398" s="39"/>
      <c r="I398" s="126"/>
      <c r="J398" s="39"/>
      <c r="K398" s="39"/>
      <c r="L398" s="126"/>
      <c r="M398" s="126"/>
      <c r="N398" s="127"/>
      <c r="O398" s="39"/>
      <c r="P398" s="128"/>
    </row>
    <row r="399" spans="2:16" ht="31.5" x14ac:dyDescent="0.5">
      <c r="B399" s="39"/>
      <c r="C399" s="39"/>
      <c r="D399" s="39"/>
      <c r="E399" s="39"/>
      <c r="F399" s="39"/>
      <c r="G399" s="39"/>
      <c r="H399" s="39"/>
      <c r="I399" s="126"/>
      <c r="J399" s="39"/>
      <c r="K399" s="39"/>
      <c r="L399" s="126"/>
      <c r="M399" s="126"/>
      <c r="N399" s="127"/>
      <c r="O399" s="39"/>
      <c r="P399" s="128"/>
    </row>
    <row r="400" spans="2:16" ht="31.5" x14ac:dyDescent="0.5">
      <c r="B400" s="39"/>
      <c r="C400" s="39"/>
      <c r="D400" s="39"/>
      <c r="E400" s="39"/>
      <c r="F400" s="39"/>
      <c r="G400" s="39"/>
      <c r="H400" s="39"/>
      <c r="I400" s="126"/>
      <c r="J400" s="39"/>
      <c r="K400" s="39"/>
      <c r="L400" s="126"/>
      <c r="M400" s="126"/>
      <c r="N400" s="127"/>
      <c r="O400" s="39"/>
      <c r="P400" s="128"/>
    </row>
    <row r="401" spans="2:16" ht="31.5" x14ac:dyDescent="0.5">
      <c r="B401" s="39"/>
      <c r="C401" s="39"/>
      <c r="D401" s="39"/>
      <c r="E401" s="39"/>
      <c r="F401" s="39"/>
      <c r="G401" s="39"/>
      <c r="H401" s="39"/>
      <c r="I401" s="126"/>
      <c r="J401" s="39"/>
      <c r="K401" s="39"/>
      <c r="L401" s="126"/>
      <c r="M401" s="126"/>
      <c r="N401" s="127"/>
      <c r="O401" s="39"/>
      <c r="P401" s="128"/>
    </row>
    <row r="402" spans="2:16" ht="31.5" x14ac:dyDescent="0.5">
      <c r="B402" s="39"/>
      <c r="C402" s="39"/>
      <c r="D402" s="39"/>
      <c r="E402" s="39"/>
      <c r="F402" s="39"/>
      <c r="G402" s="39"/>
      <c r="H402" s="39"/>
      <c r="I402" s="126"/>
      <c r="J402" s="39"/>
      <c r="K402" s="39"/>
      <c r="L402" s="126"/>
      <c r="M402" s="126"/>
      <c r="N402" s="127"/>
      <c r="O402" s="39"/>
      <c r="P402" s="128"/>
    </row>
    <row r="403" spans="2:16" ht="31.5" x14ac:dyDescent="0.5">
      <c r="B403" s="39"/>
      <c r="C403" s="39"/>
      <c r="D403" s="39"/>
      <c r="E403" s="39"/>
      <c r="F403" s="39"/>
      <c r="G403" s="39"/>
      <c r="H403" s="39"/>
      <c r="I403" s="126"/>
      <c r="J403" s="39"/>
      <c r="K403" s="39"/>
      <c r="L403" s="126"/>
      <c r="M403" s="126"/>
      <c r="N403" s="127"/>
      <c r="O403" s="39"/>
      <c r="P403" s="128"/>
    </row>
    <row r="404" spans="2:16" ht="31.5" x14ac:dyDescent="0.5">
      <c r="B404" s="39"/>
      <c r="C404" s="39"/>
      <c r="D404" s="39"/>
      <c r="E404" s="39"/>
      <c r="F404" s="39"/>
      <c r="G404" s="39"/>
      <c r="H404" s="39"/>
      <c r="I404" s="126"/>
      <c r="J404" s="39"/>
      <c r="K404" s="39"/>
      <c r="L404" s="126"/>
      <c r="M404" s="126"/>
      <c r="N404" s="127"/>
      <c r="O404" s="39"/>
      <c r="P404" s="128"/>
    </row>
    <row r="405" spans="2:16" ht="31.5" x14ac:dyDescent="0.5">
      <c r="B405" s="39"/>
      <c r="C405" s="39"/>
      <c r="D405" s="39"/>
      <c r="E405" s="39"/>
      <c r="F405" s="39"/>
      <c r="G405" s="39"/>
      <c r="H405" s="39"/>
      <c r="I405" s="126"/>
      <c r="J405" s="39"/>
      <c r="K405" s="39"/>
      <c r="L405" s="126"/>
      <c r="M405" s="126"/>
      <c r="N405" s="127"/>
      <c r="O405" s="39"/>
      <c r="P405" s="128"/>
    </row>
    <row r="406" spans="2:16" ht="31.5" x14ac:dyDescent="0.5">
      <c r="B406" s="39"/>
      <c r="C406" s="39"/>
      <c r="D406" s="39"/>
      <c r="E406" s="39"/>
      <c r="F406" s="39"/>
      <c r="G406" s="39"/>
      <c r="H406" s="39"/>
      <c r="I406" s="126"/>
      <c r="J406" s="39"/>
      <c r="K406" s="39"/>
      <c r="L406" s="126"/>
      <c r="M406" s="126"/>
      <c r="N406" s="127"/>
      <c r="O406" s="39"/>
      <c r="P406" s="128"/>
    </row>
    <row r="407" spans="2:16" ht="31.5" x14ac:dyDescent="0.5">
      <c r="B407" s="39"/>
      <c r="C407" s="39"/>
      <c r="D407" s="39"/>
      <c r="E407" s="39"/>
      <c r="F407" s="39"/>
      <c r="G407" s="39"/>
      <c r="H407" s="39"/>
      <c r="I407" s="126"/>
      <c r="J407" s="39"/>
      <c r="K407" s="39"/>
      <c r="L407" s="126"/>
      <c r="M407" s="126"/>
      <c r="N407" s="127"/>
      <c r="O407" s="39"/>
      <c r="P407" s="128"/>
    </row>
    <row r="408" spans="2:16" ht="31.5" x14ac:dyDescent="0.5">
      <c r="B408" s="39"/>
      <c r="C408" s="39"/>
      <c r="D408" s="39"/>
      <c r="E408" s="39"/>
      <c r="F408" s="39"/>
      <c r="G408" s="39"/>
      <c r="H408" s="39"/>
      <c r="I408" s="126"/>
      <c r="J408" s="39"/>
      <c r="K408" s="39"/>
      <c r="L408" s="126"/>
      <c r="M408" s="126"/>
      <c r="N408" s="127"/>
      <c r="O408" s="39"/>
      <c r="P408" s="128"/>
    </row>
    <row r="409" spans="2:16" ht="31.5" x14ac:dyDescent="0.5">
      <c r="B409" s="39"/>
      <c r="C409" s="39"/>
      <c r="D409" s="39"/>
      <c r="E409" s="39"/>
      <c r="F409" s="39"/>
      <c r="G409" s="39"/>
      <c r="H409" s="39"/>
      <c r="I409" s="126"/>
      <c r="J409" s="39"/>
      <c r="K409" s="39"/>
      <c r="L409" s="126"/>
      <c r="M409" s="126"/>
      <c r="N409" s="127"/>
      <c r="O409" s="39"/>
      <c r="P409" s="128"/>
    </row>
    <row r="410" spans="2:16" ht="31.5" x14ac:dyDescent="0.5">
      <c r="B410" s="39"/>
      <c r="C410" s="39"/>
      <c r="D410" s="39"/>
      <c r="E410" s="39"/>
      <c r="F410" s="39"/>
      <c r="G410" s="39"/>
      <c r="H410" s="39"/>
      <c r="I410" s="126"/>
      <c r="J410" s="39"/>
      <c r="K410" s="39"/>
      <c r="L410" s="126"/>
      <c r="M410" s="126"/>
      <c r="N410" s="127"/>
      <c r="O410" s="39"/>
      <c r="P410" s="128"/>
    </row>
    <row r="411" spans="2:16" ht="31.5" x14ac:dyDescent="0.5">
      <c r="B411" s="39"/>
      <c r="C411" s="39"/>
      <c r="D411" s="39"/>
      <c r="E411" s="39"/>
      <c r="F411" s="39"/>
      <c r="G411" s="39"/>
      <c r="H411" s="39"/>
      <c r="I411" s="126"/>
      <c r="J411" s="39"/>
      <c r="K411" s="39"/>
      <c r="L411" s="126"/>
      <c r="M411" s="126"/>
      <c r="N411" s="127"/>
      <c r="O411" s="39"/>
      <c r="P411" s="128"/>
    </row>
    <row r="412" spans="2:16" ht="31.5" x14ac:dyDescent="0.5">
      <c r="B412" s="39"/>
      <c r="C412" s="39"/>
      <c r="D412" s="39"/>
      <c r="E412" s="39"/>
      <c r="F412" s="39"/>
      <c r="G412" s="39"/>
      <c r="H412" s="39"/>
      <c r="I412" s="126"/>
      <c r="J412" s="39"/>
      <c r="K412" s="39"/>
      <c r="L412" s="126"/>
      <c r="M412" s="126"/>
      <c r="N412" s="127"/>
      <c r="O412" s="39"/>
      <c r="P412" s="128"/>
    </row>
    <row r="413" spans="2:16" ht="31.5" x14ac:dyDescent="0.5">
      <c r="B413" s="39"/>
      <c r="C413" s="39"/>
      <c r="D413" s="39"/>
      <c r="E413" s="39"/>
      <c r="F413" s="39"/>
      <c r="G413" s="39"/>
      <c r="H413" s="39"/>
      <c r="I413" s="126"/>
      <c r="J413" s="39"/>
      <c r="K413" s="39"/>
      <c r="L413" s="126"/>
      <c r="M413" s="126"/>
      <c r="N413" s="127"/>
      <c r="O413" s="39"/>
      <c r="P413" s="128"/>
    </row>
    <row r="414" spans="2:16" ht="31.5" x14ac:dyDescent="0.5">
      <c r="B414" s="39"/>
      <c r="C414" s="39"/>
      <c r="D414" s="39"/>
      <c r="E414" s="39"/>
      <c r="F414" s="39"/>
      <c r="G414" s="39"/>
      <c r="H414" s="39"/>
      <c r="I414" s="126"/>
      <c r="J414" s="39"/>
      <c r="K414" s="39"/>
      <c r="L414" s="126"/>
      <c r="M414" s="126"/>
      <c r="N414" s="127"/>
      <c r="O414" s="39"/>
      <c r="P414" s="128"/>
    </row>
    <row r="415" spans="2:16" ht="31.5" x14ac:dyDescent="0.5">
      <c r="B415" s="39"/>
      <c r="C415" s="39"/>
      <c r="D415" s="39"/>
      <c r="E415" s="39"/>
      <c r="F415" s="39"/>
      <c r="G415" s="39"/>
      <c r="H415" s="39"/>
      <c r="I415" s="126"/>
      <c r="J415" s="39"/>
      <c r="K415" s="39"/>
      <c r="L415" s="126"/>
      <c r="M415" s="126"/>
      <c r="N415" s="127"/>
      <c r="O415" s="39"/>
      <c r="P415" s="128"/>
    </row>
    <row r="416" spans="2:16" ht="31.5" x14ac:dyDescent="0.5">
      <c r="B416" s="39"/>
      <c r="C416" s="39"/>
      <c r="D416" s="39"/>
      <c r="E416" s="39"/>
      <c r="F416" s="39"/>
      <c r="G416" s="39"/>
      <c r="H416" s="39"/>
      <c r="I416" s="126"/>
      <c r="J416" s="39"/>
      <c r="K416" s="39"/>
      <c r="L416" s="126"/>
      <c r="M416" s="126"/>
      <c r="N416" s="127"/>
      <c r="O416" s="39"/>
      <c r="P416" s="128"/>
    </row>
    <row r="417" spans="2:16" ht="31.5" x14ac:dyDescent="0.5">
      <c r="B417" s="39"/>
      <c r="C417" s="39"/>
      <c r="D417" s="39"/>
      <c r="E417" s="39"/>
      <c r="F417" s="39"/>
      <c r="G417" s="39"/>
      <c r="H417" s="39"/>
      <c r="I417" s="126"/>
      <c r="J417" s="39"/>
      <c r="K417" s="39"/>
      <c r="L417" s="126"/>
      <c r="M417" s="126"/>
      <c r="N417" s="127"/>
      <c r="O417" s="39"/>
      <c r="P417" s="128"/>
    </row>
    <row r="418" spans="2:16" ht="31.5" x14ac:dyDescent="0.5">
      <c r="B418" s="39"/>
      <c r="C418" s="39"/>
      <c r="D418" s="39"/>
      <c r="E418" s="39"/>
      <c r="F418" s="39"/>
      <c r="G418" s="39"/>
      <c r="H418" s="39"/>
      <c r="I418" s="126"/>
      <c r="J418" s="39"/>
      <c r="K418" s="39"/>
      <c r="L418" s="126"/>
      <c r="M418" s="126"/>
      <c r="N418" s="127"/>
      <c r="O418" s="39"/>
      <c r="P418" s="128"/>
    </row>
    <row r="419" spans="2:16" ht="31.5" x14ac:dyDescent="0.5">
      <c r="B419" s="39"/>
      <c r="C419" s="39"/>
      <c r="D419" s="39"/>
      <c r="E419" s="39"/>
      <c r="F419" s="39"/>
      <c r="G419" s="39"/>
      <c r="H419" s="39"/>
      <c r="I419" s="126"/>
      <c r="J419" s="39"/>
      <c r="K419" s="39"/>
      <c r="L419" s="126"/>
      <c r="M419" s="126"/>
      <c r="N419" s="127"/>
      <c r="O419" s="39"/>
      <c r="P419" s="128"/>
    </row>
    <row r="420" spans="2:16" ht="31.5" x14ac:dyDescent="0.5">
      <c r="B420" s="39"/>
      <c r="C420" s="39"/>
      <c r="D420" s="39"/>
      <c r="E420" s="39"/>
      <c r="F420" s="39"/>
      <c r="G420" s="39"/>
      <c r="H420" s="39"/>
      <c r="I420" s="126"/>
      <c r="J420" s="39"/>
      <c r="K420" s="39"/>
      <c r="L420" s="126"/>
      <c r="M420" s="126"/>
      <c r="N420" s="127"/>
      <c r="O420" s="39"/>
      <c r="P420" s="128"/>
    </row>
    <row r="421" spans="2:16" ht="31.5" x14ac:dyDescent="0.5">
      <c r="B421" s="39"/>
      <c r="C421" s="39"/>
      <c r="D421" s="39"/>
      <c r="E421" s="39"/>
      <c r="F421" s="39"/>
      <c r="G421" s="39"/>
      <c r="H421" s="39"/>
      <c r="I421" s="126"/>
      <c r="J421" s="39"/>
      <c r="K421" s="39"/>
      <c r="L421" s="126"/>
      <c r="M421" s="126"/>
      <c r="N421" s="127"/>
      <c r="O421" s="39"/>
      <c r="P421" s="128"/>
    </row>
    <row r="422" spans="2:16" ht="31.5" x14ac:dyDescent="0.5">
      <c r="B422" s="39"/>
      <c r="C422" s="39"/>
      <c r="D422" s="39"/>
      <c r="E422" s="39"/>
      <c r="F422" s="39"/>
      <c r="G422" s="39"/>
      <c r="H422" s="39"/>
      <c r="I422" s="126"/>
      <c r="J422" s="39"/>
      <c r="K422" s="39"/>
      <c r="L422" s="126"/>
      <c r="M422" s="126"/>
      <c r="N422" s="127"/>
      <c r="O422" s="39"/>
      <c r="P422" s="128"/>
    </row>
    <row r="423" spans="2:16" ht="31.5" x14ac:dyDescent="0.5">
      <c r="B423" s="39"/>
      <c r="C423" s="39"/>
      <c r="D423" s="39"/>
      <c r="E423" s="39"/>
      <c r="F423" s="39"/>
      <c r="G423" s="39"/>
      <c r="H423" s="39"/>
      <c r="I423" s="126"/>
      <c r="J423" s="39"/>
      <c r="K423" s="39"/>
      <c r="L423" s="126"/>
      <c r="M423" s="126"/>
      <c r="N423" s="127"/>
      <c r="O423" s="39"/>
      <c r="P423" s="128"/>
    </row>
    <row r="424" spans="2:16" ht="31.5" x14ac:dyDescent="0.5">
      <c r="B424" s="39"/>
      <c r="C424" s="39"/>
      <c r="D424" s="39"/>
      <c r="E424" s="39"/>
      <c r="F424" s="39"/>
      <c r="G424" s="39"/>
      <c r="H424" s="39"/>
      <c r="I424" s="126"/>
      <c r="J424" s="39"/>
      <c r="K424" s="39"/>
      <c r="L424" s="126"/>
      <c r="M424" s="126"/>
      <c r="N424" s="127"/>
      <c r="O424" s="39"/>
      <c r="P424" s="128"/>
    </row>
    <row r="425" spans="2:16" ht="31.5" x14ac:dyDescent="0.5">
      <c r="B425" s="39"/>
      <c r="C425" s="39"/>
      <c r="D425" s="39"/>
      <c r="E425" s="39"/>
      <c r="F425" s="39"/>
      <c r="G425" s="39"/>
      <c r="H425" s="39"/>
      <c r="I425" s="126"/>
      <c r="J425" s="39"/>
      <c r="K425" s="39"/>
      <c r="L425" s="126"/>
      <c r="M425" s="126"/>
      <c r="N425" s="127"/>
      <c r="O425" s="39"/>
      <c r="P425" s="128"/>
    </row>
    <row r="426" spans="2:16" ht="31.5" x14ac:dyDescent="0.5">
      <c r="B426" s="39"/>
      <c r="C426" s="39"/>
      <c r="D426" s="39"/>
      <c r="E426" s="39"/>
      <c r="F426" s="39"/>
      <c r="G426" s="39"/>
      <c r="H426" s="39"/>
      <c r="I426" s="126"/>
      <c r="J426" s="39"/>
      <c r="K426" s="39"/>
      <c r="L426" s="126"/>
      <c r="M426" s="126"/>
      <c r="N426" s="127"/>
      <c r="O426" s="39"/>
      <c r="P426" s="128"/>
    </row>
    <row r="427" spans="2:16" ht="31.5" x14ac:dyDescent="0.5">
      <c r="B427" s="39"/>
      <c r="C427" s="39"/>
      <c r="D427" s="39"/>
      <c r="E427" s="39"/>
      <c r="F427" s="39"/>
      <c r="G427" s="39"/>
      <c r="H427" s="39"/>
      <c r="I427" s="126"/>
      <c r="J427" s="39"/>
      <c r="K427" s="39"/>
      <c r="L427" s="126"/>
      <c r="M427" s="126"/>
      <c r="N427" s="127"/>
      <c r="O427" s="39"/>
      <c r="P427" s="128"/>
    </row>
    <row r="428" spans="2:16" ht="31.5" x14ac:dyDescent="0.5">
      <c r="B428" s="39"/>
      <c r="C428" s="39"/>
      <c r="D428" s="39"/>
      <c r="E428" s="39"/>
      <c r="F428" s="39"/>
      <c r="G428" s="39"/>
      <c r="H428" s="39"/>
      <c r="I428" s="126"/>
      <c r="J428" s="39"/>
      <c r="K428" s="39"/>
      <c r="L428" s="126"/>
      <c r="M428" s="126"/>
      <c r="N428" s="127"/>
      <c r="O428" s="39"/>
      <c r="P428" s="128"/>
    </row>
    <row r="429" spans="2:16" ht="31.5" x14ac:dyDescent="0.5">
      <c r="B429" s="39"/>
      <c r="C429" s="39"/>
      <c r="D429" s="39"/>
      <c r="E429" s="39"/>
      <c r="F429" s="39"/>
      <c r="G429" s="39"/>
      <c r="H429" s="39"/>
      <c r="I429" s="126"/>
      <c r="J429" s="39"/>
      <c r="K429" s="39"/>
      <c r="L429" s="126"/>
      <c r="M429" s="126"/>
      <c r="N429" s="127"/>
      <c r="O429" s="39"/>
      <c r="P429" s="128"/>
    </row>
    <row r="430" spans="2:16" ht="31.5" x14ac:dyDescent="0.5">
      <c r="B430" s="39"/>
      <c r="C430" s="39"/>
      <c r="D430" s="39"/>
      <c r="E430" s="39"/>
      <c r="F430" s="39"/>
      <c r="G430" s="39"/>
      <c r="H430" s="39"/>
      <c r="I430" s="126"/>
      <c r="J430" s="39"/>
      <c r="K430" s="39"/>
      <c r="L430" s="126"/>
      <c r="M430" s="126"/>
      <c r="N430" s="127"/>
      <c r="O430" s="39"/>
      <c r="P430" s="128"/>
    </row>
    <row r="431" spans="2:16" ht="31.5" x14ac:dyDescent="0.5">
      <c r="B431" s="39"/>
      <c r="C431" s="39"/>
      <c r="D431" s="39"/>
      <c r="E431" s="39"/>
      <c r="F431" s="39"/>
      <c r="G431" s="39"/>
      <c r="H431" s="39"/>
      <c r="I431" s="126"/>
      <c r="J431" s="39"/>
      <c r="K431" s="39"/>
      <c r="L431" s="126"/>
      <c r="M431" s="126"/>
      <c r="N431" s="127"/>
      <c r="O431" s="39"/>
      <c r="P431" s="128"/>
    </row>
    <row r="432" spans="2:16" ht="31.5" x14ac:dyDescent="0.5">
      <c r="B432" s="39"/>
      <c r="C432" s="39"/>
      <c r="D432" s="39"/>
      <c r="E432" s="39"/>
      <c r="F432" s="39"/>
      <c r="G432" s="39"/>
      <c r="H432" s="39"/>
      <c r="I432" s="126"/>
      <c r="J432" s="39"/>
      <c r="K432" s="39"/>
      <c r="L432" s="126"/>
      <c r="M432" s="126"/>
      <c r="N432" s="127"/>
      <c r="O432" s="39"/>
      <c r="P432" s="128"/>
    </row>
    <row r="433" spans="2:16" ht="31.5" x14ac:dyDescent="0.5">
      <c r="B433" s="39"/>
      <c r="C433" s="39"/>
      <c r="D433" s="39"/>
      <c r="E433" s="39"/>
      <c r="F433" s="39"/>
      <c r="G433" s="39"/>
      <c r="H433" s="39"/>
      <c r="I433" s="126"/>
      <c r="J433" s="39"/>
      <c r="K433" s="39"/>
      <c r="L433" s="126"/>
      <c r="M433" s="126"/>
      <c r="N433" s="127"/>
      <c r="O433" s="39"/>
      <c r="P433" s="128"/>
    </row>
    <row r="434" spans="2:16" ht="31.5" x14ac:dyDescent="0.5">
      <c r="B434" s="39"/>
      <c r="C434" s="39"/>
      <c r="D434" s="39"/>
      <c r="E434" s="39"/>
      <c r="F434" s="39"/>
      <c r="G434" s="39"/>
      <c r="H434" s="39"/>
      <c r="I434" s="126"/>
      <c r="J434" s="39"/>
      <c r="K434" s="39"/>
      <c r="L434" s="126"/>
      <c r="M434" s="126"/>
      <c r="N434" s="127"/>
      <c r="O434" s="39"/>
      <c r="P434" s="128"/>
    </row>
    <row r="435" spans="2:16" ht="31.5" x14ac:dyDescent="0.5">
      <c r="B435" s="39"/>
      <c r="C435" s="39"/>
      <c r="D435" s="39"/>
      <c r="E435" s="39"/>
      <c r="F435" s="39"/>
      <c r="G435" s="39"/>
      <c r="H435" s="39"/>
      <c r="I435" s="126"/>
      <c r="J435" s="39"/>
      <c r="K435" s="39"/>
      <c r="L435" s="126"/>
      <c r="M435" s="126"/>
      <c r="N435" s="127"/>
      <c r="O435" s="39"/>
      <c r="P435" s="128"/>
    </row>
    <row r="436" spans="2:16" ht="31.5" x14ac:dyDescent="0.5">
      <c r="B436" s="39"/>
      <c r="C436" s="39"/>
      <c r="D436" s="39"/>
      <c r="E436" s="39"/>
      <c r="F436" s="39"/>
      <c r="G436" s="39"/>
      <c r="H436" s="39"/>
      <c r="I436" s="126"/>
      <c r="J436" s="39"/>
      <c r="K436" s="39"/>
      <c r="L436" s="126"/>
      <c r="M436" s="126"/>
      <c r="N436" s="127"/>
      <c r="O436" s="39"/>
      <c r="P436" s="128"/>
    </row>
    <row r="437" spans="2:16" ht="31.5" x14ac:dyDescent="0.5">
      <c r="B437" s="39"/>
      <c r="C437" s="39"/>
      <c r="D437" s="39"/>
      <c r="E437" s="39"/>
      <c r="F437" s="39"/>
      <c r="G437" s="39"/>
      <c r="H437" s="39"/>
      <c r="I437" s="126"/>
      <c r="J437" s="39"/>
      <c r="K437" s="39"/>
      <c r="L437" s="126"/>
      <c r="M437" s="126"/>
      <c r="N437" s="127"/>
      <c r="O437" s="39"/>
      <c r="P437" s="128"/>
    </row>
    <row r="438" spans="2:16" ht="31.5" x14ac:dyDescent="0.5">
      <c r="B438" s="39"/>
      <c r="C438" s="39"/>
      <c r="D438" s="39"/>
      <c r="E438" s="39"/>
      <c r="F438" s="39"/>
      <c r="G438" s="39"/>
      <c r="H438" s="39"/>
      <c r="I438" s="126"/>
      <c r="J438" s="39"/>
      <c r="K438" s="39"/>
      <c r="L438" s="126"/>
      <c r="M438" s="126"/>
      <c r="N438" s="127"/>
      <c r="O438" s="39"/>
      <c r="P438" s="128"/>
    </row>
    <row r="439" spans="2:16" ht="31.5" x14ac:dyDescent="0.5">
      <c r="B439" s="39"/>
      <c r="C439" s="39"/>
      <c r="D439" s="39"/>
      <c r="E439" s="39"/>
      <c r="F439" s="39"/>
      <c r="G439" s="39"/>
      <c r="H439" s="39"/>
      <c r="I439" s="126"/>
      <c r="J439" s="39"/>
      <c r="K439" s="39"/>
      <c r="L439" s="126"/>
      <c r="M439" s="126"/>
      <c r="N439" s="127"/>
      <c r="O439" s="39"/>
      <c r="P439" s="128"/>
    </row>
    <row r="440" spans="2:16" ht="31.5" x14ac:dyDescent="0.5">
      <c r="B440" s="39"/>
      <c r="C440" s="39"/>
      <c r="D440" s="39"/>
      <c r="E440" s="39"/>
      <c r="F440" s="39"/>
      <c r="G440" s="39"/>
      <c r="H440" s="39"/>
      <c r="I440" s="126"/>
      <c r="J440" s="39"/>
      <c r="K440" s="39"/>
      <c r="L440" s="126"/>
      <c r="M440" s="126"/>
      <c r="N440" s="127"/>
      <c r="O440" s="39"/>
      <c r="P440" s="128"/>
    </row>
    <row r="441" spans="2:16" ht="31.5" x14ac:dyDescent="0.5">
      <c r="B441" s="39"/>
      <c r="C441" s="39"/>
      <c r="D441" s="39"/>
      <c r="E441" s="39"/>
      <c r="F441" s="39"/>
      <c r="G441" s="39"/>
      <c r="H441" s="39"/>
      <c r="I441" s="126"/>
      <c r="J441" s="39"/>
      <c r="K441" s="39"/>
      <c r="L441" s="126"/>
      <c r="M441" s="126"/>
      <c r="N441" s="127"/>
      <c r="O441" s="39"/>
      <c r="P441" s="128"/>
    </row>
    <row r="442" spans="2:16" ht="31.5" x14ac:dyDescent="0.5">
      <c r="B442" s="39"/>
      <c r="C442" s="39"/>
      <c r="D442" s="39"/>
      <c r="E442" s="39"/>
      <c r="F442" s="39"/>
      <c r="G442" s="39"/>
      <c r="H442" s="39"/>
      <c r="I442" s="126"/>
      <c r="J442" s="39"/>
      <c r="K442" s="39"/>
      <c r="L442" s="126"/>
      <c r="M442" s="126"/>
      <c r="N442" s="127"/>
      <c r="O442" s="39"/>
      <c r="P442" s="128"/>
    </row>
    <row r="443" spans="2:16" ht="31.5" x14ac:dyDescent="0.5">
      <c r="B443" s="39"/>
      <c r="C443" s="39"/>
      <c r="D443" s="39"/>
      <c r="E443" s="39"/>
      <c r="F443" s="39"/>
      <c r="G443" s="39"/>
      <c r="H443" s="39"/>
      <c r="I443" s="126"/>
      <c r="J443" s="39"/>
      <c r="K443" s="39"/>
      <c r="L443" s="126"/>
      <c r="M443" s="126"/>
      <c r="N443" s="127"/>
      <c r="O443" s="39"/>
      <c r="P443" s="128"/>
    </row>
    <row r="444" spans="2:16" ht="31.5" x14ac:dyDescent="0.5">
      <c r="B444" s="39"/>
      <c r="C444" s="39"/>
      <c r="D444" s="39"/>
      <c r="E444" s="39"/>
      <c r="F444" s="39"/>
      <c r="G444" s="39"/>
      <c r="H444" s="39"/>
      <c r="I444" s="126"/>
      <c r="J444" s="39"/>
      <c r="K444" s="39"/>
      <c r="L444" s="126"/>
      <c r="M444" s="126"/>
      <c r="N444" s="127"/>
      <c r="O444" s="39"/>
      <c r="P444" s="128"/>
    </row>
    <row r="445" spans="2:16" ht="31.5" x14ac:dyDescent="0.5">
      <c r="B445" s="39"/>
      <c r="C445" s="39"/>
      <c r="D445" s="39"/>
      <c r="E445" s="39"/>
      <c r="F445" s="39"/>
      <c r="G445" s="39"/>
      <c r="H445" s="39"/>
      <c r="I445" s="126"/>
      <c r="J445" s="39"/>
      <c r="K445" s="39"/>
      <c r="L445" s="126"/>
      <c r="M445" s="126"/>
      <c r="N445" s="127"/>
      <c r="O445" s="39"/>
      <c r="P445" s="128"/>
    </row>
    <row r="446" spans="2:16" ht="31.5" x14ac:dyDescent="0.5">
      <c r="B446" s="39"/>
      <c r="C446" s="39"/>
      <c r="D446" s="39"/>
      <c r="E446" s="39"/>
      <c r="F446" s="39"/>
      <c r="G446" s="39"/>
      <c r="H446" s="39"/>
      <c r="I446" s="126"/>
      <c r="J446" s="39"/>
      <c r="K446" s="39"/>
      <c r="L446" s="126"/>
      <c r="M446" s="126"/>
      <c r="N446" s="127"/>
      <c r="O446" s="39"/>
      <c r="P446" s="128"/>
    </row>
    <row r="447" spans="2:16" ht="31.5" x14ac:dyDescent="0.5">
      <c r="B447" s="39"/>
      <c r="C447" s="39"/>
      <c r="D447" s="39"/>
      <c r="E447" s="39"/>
      <c r="F447" s="39"/>
      <c r="G447" s="39"/>
      <c r="H447" s="39"/>
      <c r="I447" s="126"/>
      <c r="J447" s="39"/>
      <c r="K447" s="39"/>
      <c r="L447" s="126"/>
      <c r="M447" s="126"/>
      <c r="N447" s="127"/>
      <c r="O447" s="39"/>
      <c r="P447" s="128"/>
    </row>
    <row r="448" spans="2:16" ht="31.5" x14ac:dyDescent="0.5">
      <c r="B448" s="39"/>
      <c r="C448" s="39"/>
      <c r="D448" s="39"/>
      <c r="E448" s="39"/>
      <c r="F448" s="39"/>
      <c r="G448" s="39"/>
      <c r="H448" s="39"/>
      <c r="I448" s="126"/>
      <c r="J448" s="39"/>
      <c r="K448" s="39"/>
      <c r="L448" s="126"/>
      <c r="M448" s="126"/>
      <c r="N448" s="127"/>
      <c r="O448" s="39"/>
      <c r="P448" s="128"/>
    </row>
    <row r="449" spans="2:16" ht="31.5" x14ac:dyDescent="0.5">
      <c r="B449" s="39"/>
      <c r="C449" s="39"/>
      <c r="D449" s="39"/>
      <c r="E449" s="39"/>
      <c r="F449" s="39"/>
      <c r="G449" s="39"/>
      <c r="H449" s="39"/>
      <c r="I449" s="126"/>
      <c r="J449" s="39"/>
      <c r="K449" s="39"/>
      <c r="L449" s="126"/>
      <c r="M449" s="126"/>
      <c r="N449" s="127"/>
      <c r="O449" s="39"/>
      <c r="P449" s="128"/>
    </row>
    <row r="450" spans="2:16" ht="31.5" x14ac:dyDescent="0.5">
      <c r="B450" s="39"/>
      <c r="C450" s="39"/>
      <c r="D450" s="39"/>
      <c r="E450" s="39"/>
      <c r="F450" s="39"/>
      <c r="G450" s="39"/>
      <c r="H450" s="39"/>
      <c r="I450" s="126"/>
      <c r="J450" s="39"/>
      <c r="K450" s="39"/>
      <c r="L450" s="126"/>
      <c r="M450" s="126"/>
      <c r="N450" s="127"/>
      <c r="O450" s="39"/>
      <c r="P450" s="128"/>
    </row>
    <row r="451" spans="2:16" ht="31.5" x14ac:dyDescent="0.5">
      <c r="B451" s="39"/>
      <c r="C451" s="39"/>
      <c r="D451" s="39"/>
      <c r="E451" s="39"/>
      <c r="F451" s="39"/>
      <c r="G451" s="39"/>
      <c r="H451" s="39"/>
      <c r="I451" s="126"/>
      <c r="J451" s="39"/>
      <c r="K451" s="39"/>
      <c r="L451" s="126"/>
      <c r="M451" s="126"/>
      <c r="N451" s="127"/>
      <c r="O451" s="39"/>
      <c r="P451" s="128"/>
    </row>
    <row r="452" spans="2:16" ht="31.5" x14ac:dyDescent="0.5">
      <c r="B452" s="39"/>
      <c r="C452" s="39"/>
      <c r="D452" s="39"/>
      <c r="E452" s="39"/>
      <c r="F452" s="39"/>
      <c r="G452" s="39"/>
      <c r="H452" s="39"/>
      <c r="I452" s="126"/>
      <c r="J452" s="39"/>
      <c r="K452" s="39"/>
      <c r="L452" s="126"/>
      <c r="M452" s="126"/>
      <c r="N452" s="127"/>
      <c r="O452" s="39"/>
      <c r="P452" s="128"/>
    </row>
    <row r="453" spans="2:16" ht="31.5" x14ac:dyDescent="0.5">
      <c r="B453" s="39"/>
      <c r="C453" s="39"/>
      <c r="D453" s="39"/>
      <c r="E453" s="39"/>
      <c r="F453" s="39"/>
      <c r="G453" s="39"/>
      <c r="H453" s="39"/>
      <c r="I453" s="126"/>
      <c r="J453" s="39"/>
      <c r="K453" s="39"/>
      <c r="L453" s="126"/>
      <c r="M453" s="126"/>
      <c r="N453" s="127"/>
      <c r="O453" s="39"/>
      <c r="P453" s="128"/>
    </row>
    <row r="454" spans="2:16" ht="31.5" x14ac:dyDescent="0.5">
      <c r="B454" s="39"/>
      <c r="C454" s="39"/>
      <c r="D454" s="39"/>
      <c r="E454" s="39"/>
      <c r="F454" s="39"/>
      <c r="G454" s="39"/>
      <c r="H454" s="39"/>
      <c r="I454" s="126"/>
      <c r="J454" s="39"/>
      <c r="K454" s="39"/>
      <c r="L454" s="126"/>
      <c r="M454" s="126"/>
      <c r="N454" s="127"/>
      <c r="O454" s="39"/>
      <c r="P454" s="128"/>
    </row>
    <row r="455" spans="2:16" ht="31.5" x14ac:dyDescent="0.5">
      <c r="B455" s="39"/>
      <c r="C455" s="39"/>
      <c r="D455" s="39"/>
      <c r="E455" s="39"/>
      <c r="F455" s="39"/>
      <c r="G455" s="39"/>
      <c r="H455" s="39"/>
      <c r="I455" s="126"/>
      <c r="J455" s="39"/>
      <c r="K455" s="39"/>
      <c r="L455" s="126"/>
      <c r="M455" s="126"/>
      <c r="N455" s="127"/>
      <c r="O455" s="39"/>
      <c r="P455" s="128"/>
    </row>
    <row r="456" spans="2:16" ht="31.5" x14ac:dyDescent="0.5">
      <c r="B456" s="39"/>
      <c r="C456" s="39"/>
      <c r="D456" s="39"/>
      <c r="E456" s="39"/>
      <c r="F456" s="39"/>
      <c r="G456" s="39"/>
      <c r="H456" s="39"/>
      <c r="I456" s="126"/>
      <c r="J456" s="39"/>
      <c r="K456" s="39"/>
      <c r="L456" s="126"/>
      <c r="M456" s="126"/>
      <c r="N456" s="127"/>
      <c r="O456" s="39"/>
      <c r="P456" s="128"/>
    </row>
    <row r="457" spans="2:16" ht="31.5" x14ac:dyDescent="0.5">
      <c r="B457" s="39"/>
      <c r="C457" s="39"/>
      <c r="D457" s="39"/>
      <c r="E457" s="39"/>
      <c r="F457" s="39"/>
      <c r="G457" s="39"/>
      <c r="H457" s="39"/>
      <c r="I457" s="126"/>
      <c r="J457" s="39"/>
      <c r="K457" s="39"/>
      <c r="L457" s="126"/>
      <c r="M457" s="126"/>
      <c r="N457" s="127"/>
      <c r="O457" s="39"/>
      <c r="P457" s="128"/>
    </row>
    <row r="458" spans="2:16" ht="31.5" x14ac:dyDescent="0.5">
      <c r="B458" s="39"/>
      <c r="C458" s="39"/>
      <c r="D458" s="39"/>
      <c r="E458" s="39"/>
      <c r="F458" s="39"/>
      <c r="G458" s="39"/>
      <c r="H458" s="39"/>
      <c r="I458" s="126"/>
      <c r="J458" s="39"/>
      <c r="K458" s="39"/>
      <c r="L458" s="126"/>
      <c r="M458" s="126"/>
      <c r="N458" s="127"/>
      <c r="O458" s="39"/>
      <c r="P458" s="128"/>
    </row>
    <row r="459" spans="2:16" ht="31.5" x14ac:dyDescent="0.5">
      <c r="B459" s="39"/>
      <c r="C459" s="39"/>
      <c r="D459" s="39"/>
      <c r="E459" s="39"/>
      <c r="F459" s="39"/>
      <c r="G459" s="39"/>
      <c r="H459" s="39"/>
      <c r="I459" s="126"/>
      <c r="J459" s="39"/>
      <c r="K459" s="39"/>
      <c r="L459" s="126"/>
      <c r="M459" s="126"/>
      <c r="N459" s="127"/>
      <c r="O459" s="39"/>
      <c r="P459" s="128"/>
    </row>
    <row r="460" spans="2:16" ht="31.5" x14ac:dyDescent="0.5">
      <c r="B460" s="39"/>
      <c r="C460" s="39"/>
      <c r="D460" s="39"/>
      <c r="E460" s="39"/>
      <c r="F460" s="39"/>
      <c r="G460" s="39"/>
      <c r="H460" s="39"/>
      <c r="I460" s="126"/>
      <c r="J460" s="39"/>
      <c r="K460" s="39"/>
      <c r="L460" s="126"/>
      <c r="M460" s="126"/>
      <c r="N460" s="127"/>
      <c r="O460" s="39"/>
      <c r="P460" s="128"/>
    </row>
    <row r="461" spans="2:16" ht="31.5" x14ac:dyDescent="0.5">
      <c r="B461" s="39"/>
      <c r="C461" s="39"/>
      <c r="D461" s="39"/>
      <c r="E461" s="39"/>
      <c r="F461" s="39"/>
      <c r="G461" s="39"/>
      <c r="H461" s="39"/>
      <c r="I461" s="126"/>
      <c r="J461" s="39"/>
      <c r="K461" s="39"/>
      <c r="L461" s="126"/>
      <c r="M461" s="126"/>
      <c r="N461" s="127"/>
      <c r="O461" s="39"/>
      <c r="P461" s="128"/>
    </row>
    <row r="462" spans="2:16" ht="31.5" x14ac:dyDescent="0.5">
      <c r="B462" s="39"/>
      <c r="C462" s="39"/>
      <c r="D462" s="39"/>
      <c r="E462" s="39"/>
      <c r="F462" s="39"/>
      <c r="G462" s="39"/>
      <c r="H462" s="39"/>
      <c r="I462" s="126"/>
      <c r="J462" s="39"/>
      <c r="K462" s="39"/>
      <c r="L462" s="126"/>
      <c r="M462" s="126"/>
      <c r="N462" s="127"/>
      <c r="O462" s="39"/>
      <c r="P462" s="128"/>
    </row>
    <row r="463" spans="2:16" ht="31.5" x14ac:dyDescent="0.5">
      <c r="B463" s="39"/>
      <c r="C463" s="39"/>
      <c r="D463" s="39"/>
      <c r="E463" s="39"/>
      <c r="F463" s="39"/>
      <c r="G463" s="39"/>
      <c r="H463" s="39"/>
      <c r="I463" s="126"/>
      <c r="J463" s="39"/>
      <c r="K463" s="39"/>
      <c r="L463" s="126"/>
      <c r="M463" s="126"/>
      <c r="N463" s="127"/>
      <c r="O463" s="39"/>
      <c r="P463" s="128"/>
    </row>
    <row r="464" spans="2:16" ht="31.5" x14ac:dyDescent="0.5">
      <c r="B464" s="39"/>
      <c r="C464" s="39"/>
      <c r="D464" s="39"/>
      <c r="E464" s="39"/>
      <c r="F464" s="39"/>
      <c r="G464" s="39"/>
      <c r="H464" s="39"/>
      <c r="I464" s="126"/>
      <c r="J464" s="39"/>
      <c r="K464" s="39"/>
      <c r="L464" s="126"/>
      <c r="M464" s="126"/>
      <c r="N464" s="127"/>
      <c r="O464" s="39"/>
      <c r="P464" s="128"/>
    </row>
    <row r="465" spans="2:16" ht="31.5" x14ac:dyDescent="0.5">
      <c r="B465" s="39"/>
      <c r="C465" s="39"/>
      <c r="D465" s="39"/>
      <c r="E465" s="39"/>
      <c r="F465" s="39"/>
      <c r="G465" s="39"/>
      <c r="H465" s="39"/>
      <c r="I465" s="126"/>
      <c r="J465" s="39"/>
      <c r="K465" s="39"/>
      <c r="L465" s="126"/>
      <c r="M465" s="126"/>
      <c r="N465" s="127"/>
      <c r="O465" s="39"/>
      <c r="P465" s="128"/>
    </row>
    <row r="466" spans="2:16" ht="31.5" x14ac:dyDescent="0.5">
      <c r="B466" s="39"/>
      <c r="C466" s="39"/>
      <c r="D466" s="39"/>
      <c r="E466" s="39"/>
      <c r="F466" s="39"/>
      <c r="G466" s="39"/>
      <c r="H466" s="39"/>
      <c r="I466" s="126"/>
      <c r="J466" s="39"/>
      <c r="K466" s="39"/>
      <c r="L466" s="126"/>
      <c r="M466" s="126"/>
      <c r="N466" s="127"/>
      <c r="O466" s="39"/>
      <c r="P466" s="128"/>
    </row>
    <row r="467" spans="2:16" ht="31.5" x14ac:dyDescent="0.5">
      <c r="B467" s="39"/>
      <c r="C467" s="39"/>
      <c r="D467" s="39"/>
      <c r="E467" s="39"/>
      <c r="F467" s="39"/>
      <c r="G467" s="39"/>
      <c r="H467" s="39"/>
      <c r="I467" s="126"/>
      <c r="J467" s="39"/>
      <c r="K467" s="39"/>
      <c r="L467" s="126"/>
      <c r="M467" s="126"/>
      <c r="N467" s="127"/>
      <c r="O467" s="39"/>
      <c r="P467" s="128"/>
    </row>
    <row r="468" spans="2:16" ht="31.5" x14ac:dyDescent="0.5">
      <c r="B468" s="39"/>
      <c r="C468" s="39"/>
      <c r="D468" s="39"/>
      <c r="E468" s="39"/>
      <c r="F468" s="39"/>
      <c r="G468" s="39"/>
      <c r="H468" s="39"/>
      <c r="I468" s="126"/>
      <c r="J468" s="39"/>
      <c r="K468" s="39"/>
      <c r="L468" s="126"/>
      <c r="M468" s="126"/>
      <c r="N468" s="127"/>
      <c r="O468" s="39"/>
      <c r="P468" s="128"/>
    </row>
    <row r="469" spans="2:16" ht="31.5" x14ac:dyDescent="0.5">
      <c r="B469" s="39"/>
      <c r="C469" s="39"/>
      <c r="D469" s="39"/>
      <c r="E469" s="39"/>
      <c r="F469" s="39"/>
      <c r="G469" s="39"/>
      <c r="H469" s="39"/>
      <c r="I469" s="126"/>
      <c r="J469" s="39"/>
      <c r="K469" s="39"/>
      <c r="L469" s="126"/>
      <c r="M469" s="126"/>
      <c r="N469" s="127"/>
      <c r="O469" s="39"/>
      <c r="P469" s="128"/>
    </row>
    <row r="470" spans="2:16" ht="31.5" x14ac:dyDescent="0.5">
      <c r="B470" s="39"/>
      <c r="C470" s="39"/>
      <c r="D470" s="39"/>
      <c r="E470" s="39"/>
      <c r="F470" s="39"/>
      <c r="G470" s="39"/>
      <c r="H470" s="39"/>
      <c r="I470" s="126"/>
      <c r="J470" s="39"/>
      <c r="K470" s="39"/>
      <c r="L470" s="126"/>
      <c r="M470" s="126"/>
      <c r="N470" s="127"/>
      <c r="O470" s="39"/>
      <c r="P470" s="128"/>
    </row>
    <row r="471" spans="2:16" ht="31.5" x14ac:dyDescent="0.5">
      <c r="B471" s="39"/>
      <c r="C471" s="39"/>
      <c r="D471" s="39"/>
      <c r="E471" s="39"/>
      <c r="F471" s="39"/>
      <c r="G471" s="39"/>
      <c r="H471" s="39"/>
      <c r="I471" s="126"/>
      <c r="J471" s="39"/>
      <c r="K471" s="39"/>
      <c r="L471" s="126"/>
      <c r="M471" s="126"/>
      <c r="N471" s="127"/>
      <c r="O471" s="39"/>
      <c r="P471" s="128"/>
    </row>
    <row r="472" spans="2:16" ht="31.5" x14ac:dyDescent="0.5">
      <c r="B472" s="39"/>
      <c r="C472" s="39"/>
      <c r="D472" s="39"/>
      <c r="E472" s="39"/>
      <c r="F472" s="39"/>
      <c r="G472" s="39"/>
      <c r="H472" s="39"/>
      <c r="I472" s="126"/>
      <c r="J472" s="39"/>
      <c r="K472" s="39"/>
      <c r="L472" s="126"/>
      <c r="M472" s="126"/>
      <c r="N472" s="127"/>
      <c r="O472" s="39"/>
      <c r="P472" s="128"/>
    </row>
    <row r="473" spans="2:16" ht="31.5" x14ac:dyDescent="0.5">
      <c r="B473" s="39"/>
      <c r="C473" s="39"/>
      <c r="D473" s="39"/>
      <c r="E473" s="39"/>
      <c r="F473" s="39"/>
      <c r="G473" s="39"/>
      <c r="H473" s="39"/>
      <c r="I473" s="126"/>
      <c r="J473" s="39"/>
      <c r="K473" s="39"/>
      <c r="L473" s="126"/>
      <c r="M473" s="126"/>
      <c r="N473" s="127"/>
      <c r="O473" s="39"/>
      <c r="P473" s="128"/>
    </row>
    <row r="474" spans="2:16" ht="31.5" x14ac:dyDescent="0.5">
      <c r="B474" s="39"/>
      <c r="C474" s="39"/>
      <c r="D474" s="39"/>
      <c r="E474" s="39"/>
      <c r="F474" s="39"/>
      <c r="G474" s="39"/>
      <c r="H474" s="39"/>
      <c r="I474" s="126"/>
      <c r="J474" s="39"/>
      <c r="K474" s="39"/>
      <c r="L474" s="126"/>
      <c r="M474" s="126"/>
      <c r="N474" s="127"/>
      <c r="O474" s="39"/>
      <c r="P474" s="128"/>
    </row>
    <row r="475" spans="2:16" ht="31.5" x14ac:dyDescent="0.5">
      <c r="B475" s="39"/>
      <c r="C475" s="39"/>
      <c r="D475" s="39"/>
      <c r="E475" s="39"/>
      <c r="F475" s="39"/>
      <c r="G475" s="39"/>
      <c r="H475" s="39"/>
      <c r="I475" s="126"/>
      <c r="J475" s="39"/>
      <c r="K475" s="39"/>
      <c r="L475" s="126"/>
      <c r="M475" s="126"/>
      <c r="N475" s="127"/>
      <c r="O475" s="39"/>
      <c r="P475" s="128"/>
    </row>
    <row r="476" spans="2:16" ht="31.5" x14ac:dyDescent="0.5">
      <c r="B476" s="39"/>
      <c r="C476" s="39"/>
      <c r="D476" s="39"/>
      <c r="E476" s="39"/>
      <c r="F476" s="39"/>
      <c r="G476" s="39"/>
      <c r="H476" s="39"/>
      <c r="I476" s="126"/>
      <c r="J476" s="39"/>
      <c r="K476" s="39"/>
      <c r="L476" s="126"/>
      <c r="M476" s="126"/>
      <c r="N476" s="127"/>
      <c r="O476" s="39"/>
      <c r="P476" s="128"/>
    </row>
    <row r="477" spans="2:16" ht="31.5" x14ac:dyDescent="0.5">
      <c r="B477" s="39"/>
      <c r="C477" s="39"/>
      <c r="D477" s="39"/>
      <c r="E477" s="39"/>
      <c r="F477" s="39"/>
      <c r="G477" s="39"/>
      <c r="H477" s="39"/>
      <c r="I477" s="126"/>
      <c r="J477" s="39"/>
      <c r="K477" s="39"/>
      <c r="L477" s="126"/>
      <c r="M477" s="126"/>
      <c r="N477" s="127"/>
      <c r="O477" s="39"/>
      <c r="P477" s="128"/>
    </row>
    <row r="478" spans="2:16" ht="31.5" x14ac:dyDescent="0.5">
      <c r="B478" s="39"/>
      <c r="C478" s="39"/>
      <c r="D478" s="39"/>
      <c r="E478" s="39"/>
      <c r="F478" s="39"/>
      <c r="G478" s="39"/>
      <c r="H478" s="39"/>
      <c r="I478" s="126"/>
      <c r="J478" s="39"/>
      <c r="K478" s="39"/>
      <c r="L478" s="126"/>
      <c r="M478" s="126"/>
      <c r="N478" s="127"/>
      <c r="O478" s="39"/>
      <c r="P478" s="128"/>
    </row>
    <row r="479" spans="2:16" ht="31.5" x14ac:dyDescent="0.5">
      <c r="B479" s="39"/>
      <c r="C479" s="39"/>
      <c r="D479" s="39"/>
      <c r="E479" s="39"/>
      <c r="F479" s="39"/>
      <c r="G479" s="39"/>
      <c r="H479" s="39"/>
      <c r="I479" s="126"/>
      <c r="J479" s="39"/>
      <c r="K479" s="39"/>
      <c r="L479" s="126"/>
      <c r="M479" s="126"/>
      <c r="N479" s="127"/>
      <c r="O479" s="39"/>
      <c r="P479" s="128"/>
    </row>
    <row r="480" spans="2:16" ht="31.5" x14ac:dyDescent="0.5">
      <c r="B480" s="39"/>
      <c r="C480" s="39"/>
      <c r="D480" s="39"/>
      <c r="E480" s="39"/>
      <c r="F480" s="39"/>
      <c r="G480" s="39"/>
      <c r="H480" s="39"/>
      <c r="I480" s="126"/>
      <c r="J480" s="39"/>
      <c r="K480" s="39"/>
      <c r="L480" s="126"/>
      <c r="M480" s="126"/>
      <c r="N480" s="127"/>
      <c r="O480" s="39"/>
      <c r="P480" s="128"/>
    </row>
    <row r="481" spans="2:16" ht="31.5" x14ac:dyDescent="0.5">
      <c r="B481" s="39"/>
      <c r="C481" s="39"/>
      <c r="D481" s="39"/>
      <c r="E481" s="39"/>
      <c r="F481" s="39"/>
      <c r="G481" s="39"/>
      <c r="H481" s="39"/>
      <c r="I481" s="126"/>
      <c r="J481" s="39"/>
      <c r="K481" s="39"/>
      <c r="L481" s="126"/>
      <c r="M481" s="126"/>
      <c r="N481" s="127"/>
      <c r="O481" s="39"/>
      <c r="P481" s="128"/>
    </row>
    <row r="482" spans="2:16" ht="31.5" x14ac:dyDescent="0.5">
      <c r="B482" s="39"/>
      <c r="C482" s="39"/>
      <c r="D482" s="39"/>
      <c r="E482" s="39"/>
      <c r="F482" s="39"/>
      <c r="G482" s="39"/>
      <c r="H482" s="39"/>
      <c r="I482" s="126"/>
      <c r="J482" s="39"/>
      <c r="K482" s="39"/>
      <c r="L482" s="126"/>
      <c r="M482" s="126"/>
      <c r="N482" s="127"/>
      <c r="O482" s="39"/>
      <c r="P482" s="128"/>
    </row>
    <row r="483" spans="2:16" ht="31.5" x14ac:dyDescent="0.5">
      <c r="B483" s="39"/>
      <c r="C483" s="39"/>
      <c r="D483" s="39"/>
      <c r="E483" s="39"/>
      <c r="F483" s="39"/>
      <c r="G483" s="39"/>
      <c r="H483" s="39"/>
      <c r="I483" s="126"/>
      <c r="J483" s="39"/>
      <c r="K483" s="39"/>
      <c r="L483" s="126"/>
      <c r="M483" s="126"/>
      <c r="N483" s="127"/>
      <c r="O483" s="39"/>
      <c r="P483" s="128"/>
    </row>
    <row r="484" spans="2:16" ht="31.5" x14ac:dyDescent="0.5">
      <c r="B484" s="39"/>
      <c r="C484" s="39"/>
      <c r="D484" s="39"/>
      <c r="E484" s="39"/>
      <c r="F484" s="39"/>
      <c r="G484" s="39"/>
      <c r="H484" s="39"/>
      <c r="I484" s="126"/>
      <c r="J484" s="39"/>
      <c r="K484" s="39"/>
      <c r="L484" s="126"/>
      <c r="M484" s="126"/>
      <c r="N484" s="127"/>
      <c r="O484" s="39"/>
      <c r="P484" s="128"/>
    </row>
    <row r="485" spans="2:16" ht="31.5" x14ac:dyDescent="0.5">
      <c r="B485" s="39"/>
      <c r="C485" s="39"/>
      <c r="D485" s="39"/>
      <c r="E485" s="39"/>
      <c r="F485" s="39"/>
      <c r="G485" s="39"/>
      <c r="H485" s="39"/>
      <c r="I485" s="126"/>
      <c r="J485" s="39"/>
      <c r="K485" s="39"/>
      <c r="L485" s="126"/>
      <c r="M485" s="126"/>
      <c r="N485" s="127"/>
      <c r="O485" s="39"/>
      <c r="P485" s="128"/>
    </row>
    <row r="486" spans="2:16" ht="31.5" x14ac:dyDescent="0.5">
      <c r="B486" s="39"/>
      <c r="C486" s="39"/>
      <c r="D486" s="39"/>
      <c r="E486" s="39"/>
      <c r="F486" s="39"/>
      <c r="G486" s="39"/>
      <c r="H486" s="39"/>
      <c r="I486" s="126"/>
      <c r="J486" s="39"/>
      <c r="K486" s="39"/>
      <c r="L486" s="126"/>
      <c r="M486" s="126"/>
      <c r="N486" s="127"/>
      <c r="O486" s="39"/>
      <c r="P486" s="128"/>
    </row>
    <row r="487" spans="2:16" ht="31.5" x14ac:dyDescent="0.5">
      <c r="B487" s="39"/>
      <c r="C487" s="39"/>
      <c r="D487" s="39"/>
      <c r="E487" s="39"/>
      <c r="F487" s="39"/>
      <c r="G487" s="39"/>
      <c r="H487" s="39"/>
      <c r="I487" s="126"/>
      <c r="J487" s="39"/>
      <c r="K487" s="39"/>
      <c r="L487" s="126"/>
      <c r="M487" s="126"/>
      <c r="N487" s="127"/>
      <c r="O487" s="39"/>
      <c r="P487" s="128"/>
    </row>
    <row r="488" spans="2:16" ht="31.5" x14ac:dyDescent="0.5">
      <c r="B488" s="39"/>
      <c r="C488" s="39"/>
      <c r="D488" s="39"/>
      <c r="E488" s="39"/>
      <c r="F488" s="39"/>
      <c r="G488" s="39"/>
      <c r="H488" s="39"/>
      <c r="I488" s="126"/>
      <c r="J488" s="39"/>
      <c r="K488" s="39"/>
      <c r="L488" s="126"/>
      <c r="M488" s="126"/>
      <c r="N488" s="127"/>
      <c r="O488" s="39"/>
      <c r="P488" s="128"/>
    </row>
    <row r="489" spans="2:16" ht="31.5" x14ac:dyDescent="0.5">
      <c r="B489" s="39"/>
      <c r="C489" s="39"/>
      <c r="D489" s="39"/>
      <c r="E489" s="39"/>
      <c r="F489" s="39"/>
      <c r="G489" s="39"/>
      <c r="H489" s="39"/>
      <c r="I489" s="126"/>
      <c r="J489" s="39"/>
      <c r="K489" s="39"/>
      <c r="L489" s="126"/>
      <c r="M489" s="126"/>
      <c r="N489" s="127"/>
      <c r="O489" s="39"/>
      <c r="P489" s="128"/>
    </row>
    <row r="490" spans="2:16" ht="31.5" x14ac:dyDescent="0.5">
      <c r="B490" s="39"/>
      <c r="C490" s="39"/>
      <c r="D490" s="39"/>
      <c r="E490" s="39"/>
      <c r="F490" s="39"/>
      <c r="G490" s="39"/>
      <c r="H490" s="39"/>
      <c r="I490" s="126"/>
      <c r="J490" s="39"/>
      <c r="K490" s="39"/>
      <c r="L490" s="126"/>
      <c r="M490" s="126"/>
      <c r="N490" s="127"/>
      <c r="O490" s="39"/>
      <c r="P490" s="128"/>
    </row>
    <row r="491" spans="2:16" ht="31.5" x14ac:dyDescent="0.5">
      <c r="B491" s="39"/>
      <c r="C491" s="39"/>
      <c r="D491" s="39"/>
      <c r="E491" s="39"/>
      <c r="F491" s="39"/>
      <c r="G491" s="39"/>
      <c r="H491" s="39"/>
      <c r="I491" s="126"/>
      <c r="J491" s="39"/>
      <c r="K491" s="39"/>
      <c r="L491" s="126"/>
      <c r="M491" s="126"/>
      <c r="N491" s="127"/>
      <c r="O491" s="39"/>
      <c r="P491" s="128"/>
    </row>
  </sheetData>
  <mergeCells count="10">
    <mergeCell ref="B1:P3"/>
    <mergeCell ref="T15:U15"/>
    <mergeCell ref="T12:U12"/>
    <mergeCell ref="T14:U14"/>
    <mergeCell ref="T5:U5"/>
    <mergeCell ref="T8:U8"/>
    <mergeCell ref="T10:U10"/>
    <mergeCell ref="T11:U11"/>
    <mergeCell ref="T9:U9"/>
    <mergeCell ref="T13:U13"/>
  </mergeCells>
  <phoneticPr fontId="2" type="noConversion"/>
  <conditionalFormatting sqref="B118:B119 B123:B124">
    <cfRule type="expression" dxfId="175" priority="78">
      <formula>$A117=1</formula>
    </cfRule>
    <cfRule type="expression" dxfId="174" priority="79">
      <formula>#REF!="sim"</formula>
    </cfRule>
  </conditionalFormatting>
  <conditionalFormatting sqref="B142:B144 D142:D144 F142:G144 H158 C172">
    <cfRule type="expression" dxfId="173" priority="769">
      <formula>#REF!="sim"</formula>
    </cfRule>
    <cfRule type="expression" dxfId="172" priority="768">
      <formula>$A109=1</formula>
    </cfRule>
  </conditionalFormatting>
  <conditionalFormatting sqref="B145">
    <cfRule type="expression" dxfId="171" priority="777">
      <formula>#REF!="sim"</formula>
    </cfRule>
    <cfRule type="expression" dxfId="170" priority="776">
      <formula>$A139=1</formula>
    </cfRule>
  </conditionalFormatting>
  <conditionalFormatting sqref="B149:B150">
    <cfRule type="expression" dxfId="169" priority="74">
      <formula>$A147=1</formula>
    </cfRule>
    <cfRule type="expression" dxfId="168" priority="75">
      <formula>#REF!="sim"</formula>
    </cfRule>
  </conditionalFormatting>
  <conditionalFormatting sqref="B113:D114 H113:H115 B115:G115 B116:H116 M117:N118 M119 B130:H130 L138:N138 B177:H180 C294">
    <cfRule type="expression" dxfId="167" priority="439">
      <formula>#REF!="sim"</formula>
    </cfRule>
    <cfRule type="expression" dxfId="166" priority="438">
      <formula>$A90=1</formula>
    </cfRule>
  </conditionalFormatting>
  <conditionalFormatting sqref="B191:D191 G191 B192:H194">
    <cfRule type="expression" dxfId="165" priority="881">
      <formula>#REF!="sim"</formula>
    </cfRule>
    <cfRule type="expression" dxfId="164" priority="880">
      <formula>$A159=1</formula>
    </cfRule>
  </conditionalFormatting>
  <conditionalFormatting sqref="B32:G32 J32:K32 B101:C101 E101:F101 G101:H102 B102:F102 B106:H108 L113 I114:N114 K123:L124 I125:M125 J126:K126 J130:N130 D165 H165:H171 B165:B172 D166:F172">
    <cfRule type="expression" dxfId="163" priority="104">
      <formula>$A12=1</formula>
    </cfRule>
    <cfRule type="expression" dxfId="162" priority="105">
      <formula>#REF!="sim"</formula>
    </cfRule>
  </conditionalFormatting>
  <conditionalFormatting sqref="B55:G55 I121:I122 K122:M122 M123:M124 I152:M153 I154:N154 J155:M155 I156:M156 I157:L157 M157:N158 J158:L158 I159:N159 I160:K160 M160 I161:N162 L163:N166 L167:M167 L168:N168 J169:M170 M171:M173 M174:N174 I177:L177 J178:N178 I179:M179 I180:N180 I181:M181 J182:M182 I183:M187 I188:N188 J189:N189 I190:M192 J193:M193 I194:M194 I202 I209">
    <cfRule type="expression" dxfId="161" priority="221">
      <formula>#REF!="sim"</formula>
    </cfRule>
  </conditionalFormatting>
  <conditionalFormatting sqref="B22:H22 J22:K22 G26 J26:K27 F27:H27 B28:E31 B80:F89 G80:H92 B90:E91 C92:E92 H93:H96">
    <cfRule type="expression" dxfId="160" priority="197">
      <formula>#REF!="sim"</formula>
    </cfRule>
    <cfRule type="expression" dxfId="159" priority="196">
      <formula>$A8=1</formula>
    </cfRule>
  </conditionalFormatting>
  <conditionalFormatting sqref="B23:H25 J23:K25 B26:F26 H26 B27:C27 E27 B49 I79:L85">
    <cfRule type="expression" dxfId="158" priority="329">
      <formula>#REF!="sim"</formula>
    </cfRule>
    <cfRule type="expression" dxfId="157" priority="328">
      <formula>$A10=1</formula>
    </cfRule>
  </conditionalFormatting>
  <conditionalFormatting sqref="B33:H33 J33:K33 B109:H112 E113:G113 I115:K115 M115:N115 J116:K116 M116 J119 I120:N120 J121:J124 B122:F122 G122:H123 C123:F123 C124:D124 F124 J131:N131 G166:G172 H172 B173:B174 D173:H174 C270 C296:C301">
    <cfRule type="expression" dxfId="156" priority="204">
      <formula>$A12=1</formula>
    </cfRule>
    <cfRule type="expression" dxfId="155" priority="205">
      <formula>#REF!="sim"</formula>
    </cfRule>
  </conditionalFormatting>
  <conditionalFormatting sqref="B120:H120 K138 B185:H185">
    <cfRule type="expression" dxfId="154" priority="58">
      <formula>$A93=1</formula>
    </cfRule>
    <cfRule type="expression" dxfId="153" priority="59">
      <formula>#REF!="sim"</formula>
    </cfRule>
  </conditionalFormatting>
  <conditionalFormatting sqref="B139:H141 C142:C144 E142:E144 H142:H144">
    <cfRule type="expression" dxfId="152" priority="801">
      <formula>#REF!="sim"</formula>
    </cfRule>
    <cfRule type="expression" dxfId="151" priority="800">
      <formula>$A107=1</formula>
    </cfRule>
  </conditionalFormatting>
  <conditionalFormatting sqref="B146:H146">
    <cfRule type="expression" dxfId="150" priority="718">
      <formula>$A108=1</formula>
    </cfRule>
    <cfRule type="expression" dxfId="149" priority="719">
      <formula>#REF!="sim"</formula>
    </cfRule>
  </conditionalFormatting>
  <conditionalFormatting sqref="B155:H155">
    <cfRule type="expression" dxfId="148" priority="515">
      <formula>#REF!="sim"</formula>
    </cfRule>
    <cfRule type="expression" dxfId="147" priority="514">
      <formula>#REF!=1</formula>
    </cfRule>
  </conditionalFormatting>
  <conditionalFormatting sqref="B181:H181 H271">
    <cfRule type="expression" dxfId="146" priority="478">
      <formula>$A157=1</formula>
    </cfRule>
    <cfRule type="expression" dxfId="145" priority="479">
      <formula>#REF!="sim"</formula>
    </cfRule>
  </conditionalFormatting>
  <conditionalFormatting sqref="B34:K35 E114:G114 B121:H121 E124 B125:H129 J132:N132 I133 L133:N135 I135:I136 L136:M137 B175:H176">
    <cfRule type="expression" dxfId="144" priority="365">
      <formula>#REF!="sim"</formula>
    </cfRule>
    <cfRule type="expression" dxfId="143" priority="364">
      <formula>$A12=1</formula>
    </cfRule>
  </conditionalFormatting>
  <conditionalFormatting sqref="B36:K37 B117:F117 G117:H119 C118:F119">
    <cfRule type="expression" dxfId="142" priority="50">
      <formula>#REF!="sim"</formula>
    </cfRule>
    <cfRule type="expression" dxfId="141" priority="49">
      <formula>$A11=1</formula>
    </cfRule>
  </conditionalFormatting>
  <conditionalFormatting sqref="B5:M8 I9:N9 B9:H21 I10:K17 I18:L18 I19:K19 J20:K21 I20:I33">
    <cfRule type="expression" dxfId="140" priority="80">
      <formula>$A5=1</formula>
    </cfRule>
    <cfRule type="expression" dxfId="139" priority="81">
      <formula>#REF!="sim"</formula>
    </cfRule>
  </conditionalFormatting>
  <conditionalFormatting sqref="C173:C174 B186 D186:H186">
    <cfRule type="expression" dxfId="138" priority="198">
      <formula>$A145=1</formula>
    </cfRule>
    <cfRule type="expression" dxfId="137" priority="199">
      <formula>#REF!="sim"</formula>
    </cfRule>
  </conditionalFormatting>
  <conditionalFormatting sqref="C282">
    <cfRule type="expression" dxfId="136" priority="858">
      <formula>$A273=1</formula>
    </cfRule>
    <cfRule type="expression" dxfId="135" priority="859">
      <formula>#REF!="sim"</formula>
    </cfRule>
  </conditionalFormatting>
  <conditionalFormatting sqref="C292:C293">
    <cfRule type="expression" dxfId="134" priority="864">
      <formula>#REF!=1</formula>
    </cfRule>
    <cfRule type="expression" dxfId="133" priority="865">
      <formula>#REF!="sim"</formula>
    </cfRule>
  </conditionalFormatting>
  <conditionalFormatting sqref="C305:C306">
    <cfRule type="expression" dxfId="132" priority="757">
      <formula>#REF!="sim"</formula>
    </cfRule>
  </conditionalFormatting>
  <conditionalFormatting sqref="C305:C308">
    <cfRule type="expression" dxfId="131" priority="756">
      <formula>$A271=1</formula>
    </cfRule>
  </conditionalFormatting>
  <conditionalFormatting sqref="C307:C309">
    <cfRule type="expression" dxfId="130" priority="843">
      <formula>#REF!="sim"</formula>
    </cfRule>
  </conditionalFormatting>
  <conditionalFormatting sqref="C309">
    <cfRule type="expression" dxfId="129" priority="842">
      <formula>$A274=1</formula>
    </cfRule>
  </conditionalFormatting>
  <conditionalFormatting sqref="C310">
    <cfRule type="expression" dxfId="128" priority="34">
      <formula>#REF!="sim"</formula>
    </cfRule>
    <cfRule type="expression" dxfId="127" priority="33">
      <formula>$A289=1</formula>
    </cfRule>
  </conditionalFormatting>
  <conditionalFormatting sqref="C150:G150">
    <cfRule type="expression" dxfId="126" priority="837">
      <formula>#REF!="sim"</formula>
    </cfRule>
    <cfRule type="expression" dxfId="125" priority="836">
      <formula>$A117=1</formula>
    </cfRule>
  </conditionalFormatting>
  <conditionalFormatting sqref="C145:H145 B147:G148 C149:G149 G162:G164">
    <cfRule type="expression" dxfId="124" priority="774">
      <formula>$A108=1</formula>
    </cfRule>
    <cfRule type="expression" dxfId="123" priority="775">
      <formula>#REF!="sim"</formula>
    </cfRule>
  </conditionalFormatting>
  <conditionalFormatting sqref="D27">
    <cfRule type="expression" dxfId="122" priority="35">
      <formula>$A27=1</formula>
    </cfRule>
    <cfRule type="expression" dxfId="121" priority="36">
      <formula>#REF!="sim"</formula>
    </cfRule>
  </conditionalFormatting>
  <conditionalFormatting sqref="D63:D65 F63:H65">
    <cfRule type="expression" dxfId="120" priority="315">
      <formula>#REF!="sim"</formula>
    </cfRule>
    <cfRule type="expression" dxfId="119" priority="314">
      <formula>$A49=1</formula>
    </cfRule>
  </conditionalFormatting>
  <conditionalFormatting sqref="D101">
    <cfRule type="expression" dxfId="118" priority="360">
      <formula>$A82=1</formula>
    </cfRule>
    <cfRule type="expression" dxfId="117" priority="361">
      <formula>#REF!="sim"</formula>
    </cfRule>
  </conditionalFormatting>
  <conditionalFormatting sqref="D272">
    <cfRule type="expression" dxfId="116" priority="61">
      <formula>#REF!="sim"</formula>
    </cfRule>
    <cfRule type="expression" dxfId="115" priority="60">
      <formula>$A272=1</formula>
    </cfRule>
  </conditionalFormatting>
  <conditionalFormatting sqref="D56:H56 B56:C65 D57:G62 H61:H62 E63:E65">
    <cfRule type="expression" dxfId="114" priority="128">
      <formula>$A43=1</formula>
    </cfRule>
    <cfRule type="expression" dxfId="113" priority="129">
      <formula>#REF!="sim"</formula>
    </cfRule>
  </conditionalFormatting>
  <conditionalFormatting sqref="E195:E196">
    <cfRule type="expression" dxfId="112" priority="872">
      <formula>$A162=1</formula>
    </cfRule>
    <cfRule type="expression" dxfId="111" priority="873">
      <formula>#REF!="sim"</formula>
    </cfRule>
  </conditionalFormatting>
  <conditionalFormatting sqref="F28:G28 J28:K28 D96:D98">
    <cfRule type="expression" dxfId="110" priority="268">
      <formula>$A12=1</formula>
    </cfRule>
    <cfRule type="expression" dxfId="109" priority="269">
      <formula>#REF!="sim"</formula>
    </cfRule>
  </conditionalFormatting>
  <conditionalFormatting sqref="F29:G29 J29:K29 B66:G68 D69:G76 B69:C78 E77:G77 D78:G78 I99:N100 I103:K103 M103:N103 I104:N104 I105:M105 L106:M106">
    <cfRule type="expression" dxfId="108" priority="281">
      <formula>#REF!="sim"</formula>
    </cfRule>
    <cfRule type="expression" dxfId="107" priority="280">
      <formula>$A12=1</formula>
    </cfRule>
  </conditionalFormatting>
  <conditionalFormatting sqref="F30:G30 J30:K30 I101:M102 I106:K106 I107:N107 I108:M108 L109:N109 I110 I113 I119 K119:L119 I122 I129 I134 I138 I140">
    <cfRule type="expression" dxfId="106" priority="126">
      <formula>$A12=1</formula>
    </cfRule>
    <cfRule type="expression" dxfId="105" priority="127">
      <formula>#REF!="sim"</formula>
    </cfRule>
  </conditionalFormatting>
  <conditionalFormatting sqref="F31:G31 J31:K31 B99:H100 B103:G103 B104:H105 M110:M111 I112:N112 J113:K113 M113 I117:L118 K121:M121 I126 L126:M126 I127:M127 J128:N128 J129:M129">
    <cfRule type="expression" dxfId="104" priority="244">
      <formula>$A12=1</formula>
    </cfRule>
    <cfRule type="expression" dxfId="103" priority="245">
      <formula>#REF!="sim"</formula>
    </cfRule>
  </conditionalFormatting>
  <conditionalFormatting sqref="G124:H124">
    <cfRule type="expression" dxfId="102" priority="494">
      <formula>#REF!=1</formula>
    </cfRule>
    <cfRule type="expression" dxfId="101" priority="495">
      <formula>#REF!="sim"</formula>
    </cfRule>
  </conditionalFormatting>
  <conditionalFormatting sqref="H28:H32 B92 B93:E95 G93:G95 B96:C98 E96:E98">
    <cfRule type="expression" dxfId="100" priority="103">
      <formula>#REF!="sim"</formula>
    </cfRule>
    <cfRule type="expression" dxfId="99" priority="102">
      <formula>$A13=1</formula>
    </cfRule>
  </conditionalFormatting>
  <conditionalFormatting sqref="H66:H77">
    <cfRule type="expression" dxfId="98" priority="68">
      <formula>$A49=1</formula>
    </cfRule>
    <cfRule type="expression" dxfId="97" priority="69">
      <formula>#REF!="sim"</formula>
    </cfRule>
  </conditionalFormatting>
  <conditionalFormatting sqref="H79">
    <cfRule type="expression" dxfId="96" priority="137">
      <formula>#REF!="sim"</formula>
    </cfRule>
    <cfRule type="expression" dxfId="95" priority="136">
      <formula>$A61=1</formula>
    </cfRule>
  </conditionalFormatting>
  <conditionalFormatting sqref="H103 C220:D220">
    <cfRule type="expression" dxfId="94" priority="233">
      <formula>#REF!="sim"</formula>
    </cfRule>
    <cfRule type="expression" dxfId="93" priority="232">
      <formula>$A88=1</formula>
    </cfRule>
  </conditionalFormatting>
  <conditionalFormatting sqref="H147:H150 B151:H151">
    <cfRule type="expression" dxfId="92" priority="670">
      <formula>$A108=1</formula>
    </cfRule>
    <cfRule type="expression" dxfId="91" priority="671">
      <formula>#REF!="sim"</formula>
    </cfRule>
  </conditionalFormatting>
  <conditionalFormatting sqref="I43">
    <cfRule type="expression" dxfId="90" priority="347">
      <formula>#REF!="sim"</formula>
    </cfRule>
    <cfRule type="expression" dxfId="89" priority="346">
      <formula>$A19=1</formula>
    </cfRule>
  </conditionalFormatting>
  <conditionalFormatting sqref="I54 L54 I55:L62 J63:K63">
    <cfRule type="expression" dxfId="88" priority="125">
      <formula>#REF!="sim"</formula>
    </cfRule>
    <cfRule type="expression" dxfId="87" priority="124">
      <formula>$A42=1</formula>
    </cfRule>
  </conditionalFormatting>
  <conditionalFormatting sqref="I63 L63 I64:L65">
    <cfRule type="expression" dxfId="86" priority="326">
      <formula>$A50=1</formula>
    </cfRule>
    <cfRule type="expression" dxfId="85" priority="327">
      <formula>#REF!="sim"</formula>
    </cfRule>
  </conditionalFormatting>
  <conditionalFormatting sqref="I77 L77 G96 G97:H98">
    <cfRule type="expression" dxfId="84" priority="82">
      <formula>$A61=1</formula>
    </cfRule>
    <cfRule type="expression" dxfId="83" priority="83">
      <formula>#REF!="sim"</formula>
    </cfRule>
  </conditionalFormatting>
  <conditionalFormatting sqref="I116">
    <cfRule type="expression" dxfId="82" priority="21">
      <formula>$A116=1</formula>
    </cfRule>
    <cfRule type="expression" dxfId="81" priority="22">
      <formula>#REF!="sim"</formula>
    </cfRule>
  </conditionalFormatting>
  <conditionalFormatting sqref="I121:I122 B55:G55 K122:M122 M123:M124 I152:M153 I154:N154 J155:M155 I156:M156 I157:L157 M157:N158 J158:L158 I159:N159 I160:K160 M160 I161:N162 L163:N166 L167:M167 L168:N168 J169:M170 M171:M173 M174:N174 I177:L177 J178:N178 I179:M179 I180:N180 I181:M181 J182:M182 I183:M187 I188:N188 J189:N189 I190:M192 J193:M193 I194:M194 I202 I209">
    <cfRule type="expression" dxfId="80" priority="220">
      <formula>#REF!=1</formula>
    </cfRule>
  </conditionalFormatting>
  <conditionalFormatting sqref="I128">
    <cfRule type="expression" dxfId="79" priority="40">
      <formula>#REF!="sim"</formula>
    </cfRule>
    <cfRule type="expression" dxfId="78" priority="39">
      <formula>$A108=1</formula>
    </cfRule>
  </conditionalFormatting>
  <conditionalFormatting sqref="I130">
    <cfRule type="expression" dxfId="77" priority="45">
      <formula>$A109=1</formula>
    </cfRule>
    <cfRule type="expression" dxfId="76" priority="46">
      <formula>#REF!="sim"</formula>
    </cfRule>
  </conditionalFormatting>
  <conditionalFormatting sqref="I131:I132">
    <cfRule type="expression" dxfId="75" priority="18">
      <formula>#REF!="sim"</formula>
    </cfRule>
    <cfRule type="expression" dxfId="74" priority="17">
      <formula>$A131=1</formula>
    </cfRule>
  </conditionalFormatting>
  <conditionalFormatting sqref="I137 I143">
    <cfRule type="expression" dxfId="73" priority="15">
      <formula>$A137=1</formula>
    </cfRule>
    <cfRule type="expression" dxfId="72" priority="16">
      <formula>#REF!="sim"</formula>
    </cfRule>
  </conditionalFormatting>
  <conditionalFormatting sqref="I141 I142:N142 J143:N143 I144:N144 M147:N147 J150:L150 I150:I151 M150:N151 I155 I167:I168 C302">
    <cfRule type="expression" dxfId="71" priority="754">
      <formula>$A111=1</formula>
    </cfRule>
    <cfRule type="expression" dxfId="70" priority="755">
      <formula>#REF!="sim"</formula>
    </cfRule>
  </conditionalFormatting>
  <conditionalFormatting sqref="I146">
    <cfRule type="expression" dxfId="69" priority="14">
      <formula>#REF!="sim"</formula>
    </cfRule>
    <cfRule type="expression" dxfId="68" priority="13">
      <formula>$A146=1</formula>
    </cfRule>
  </conditionalFormatting>
  <conditionalFormatting sqref="I148:I149 L148:N149 B188:H190 E191:F191 H191">
    <cfRule type="expression" dxfId="67" priority="892">
      <formula>$A117=1</formula>
    </cfRule>
    <cfRule type="expression" dxfId="66" priority="893">
      <formula>#REF!="sim"</formula>
    </cfRule>
  </conditionalFormatting>
  <conditionalFormatting sqref="I178">
    <cfRule type="expression" dxfId="65" priority="12">
      <formula>#REF!="sim"</formula>
    </cfRule>
    <cfRule type="expression" dxfId="64" priority="11">
      <formula>$A178=1</formula>
    </cfRule>
  </conditionalFormatting>
  <conditionalFormatting sqref="I245:I247">
    <cfRule type="expression" dxfId="63" priority="29">
      <formula>$A227=1</formula>
    </cfRule>
    <cfRule type="expression" dxfId="62" priority="30">
      <formula>#REF!="sim"</formula>
    </cfRule>
  </conditionalFormatting>
  <conditionalFormatting sqref="I250">
    <cfRule type="expression" dxfId="61" priority="28">
      <formula>#REF!="sim"</formula>
    </cfRule>
    <cfRule type="expression" dxfId="60" priority="27">
      <formula>$A232=1</formula>
    </cfRule>
  </conditionalFormatting>
  <conditionalFormatting sqref="I254">
    <cfRule type="expression" dxfId="59" priority="25">
      <formula>$A236=1</formula>
    </cfRule>
    <cfRule type="expression" dxfId="58" priority="26">
      <formula>#REF!="sim"</formula>
    </cfRule>
  </conditionalFormatting>
  <conditionalFormatting sqref="I289">
    <cfRule type="expression" dxfId="57" priority="24">
      <formula>#REF!="sim"</formula>
    </cfRule>
    <cfRule type="expression" dxfId="56" priority="23">
      <formula>$A271=1</formula>
    </cfRule>
  </conditionalFormatting>
  <conditionalFormatting sqref="I38:K38 B38:H42 I39:L41 C49:H49 G165 B182:H184 C283:C291">
    <cfRule type="expression" dxfId="55" priority="345">
      <formula>#REF!="sim"</formula>
    </cfRule>
    <cfRule type="expression" dxfId="54" priority="344">
      <formula>$A12=1</formula>
    </cfRule>
  </conditionalFormatting>
  <conditionalFormatting sqref="I42:L42 B43:H48 I49:K49 B132:H137 B164 D164:F164 H164 C202">
    <cfRule type="expression" dxfId="53" priority="52">
      <formula>#REF!="sim"</formula>
    </cfRule>
    <cfRule type="expression" dxfId="52" priority="51">
      <formula>$A17=1</formula>
    </cfRule>
  </conditionalFormatting>
  <conditionalFormatting sqref="I44:L47 B131:H131 J133:K134 B163 D163:F163 H163 C295">
    <cfRule type="expression" dxfId="51" priority="401">
      <formula>#REF!="sim"</formula>
    </cfRule>
    <cfRule type="expression" dxfId="50" priority="400">
      <formula>$A20=1</formula>
    </cfRule>
  </conditionalFormatting>
  <conditionalFormatting sqref="I48:L48 B50:H54 J77:K77 I182">
    <cfRule type="expression" dxfId="49" priority="209">
      <formula>#REF!="sim"</formula>
    </cfRule>
    <cfRule type="expression" dxfId="48" priority="208">
      <formula>$A36=1</formula>
    </cfRule>
  </conditionalFormatting>
  <conditionalFormatting sqref="I66:L76">
    <cfRule type="expression" dxfId="47" priority="311">
      <formula>#REF!="sim"</formula>
    </cfRule>
    <cfRule type="expression" dxfId="46" priority="310">
      <formula>$A50=1</formula>
    </cfRule>
  </conditionalFormatting>
  <conditionalFormatting sqref="I78:L78 B79:G79">
    <cfRule type="expression" dxfId="45" priority="381">
      <formula>#REF!="sim"</formula>
    </cfRule>
    <cfRule type="expression" dxfId="44" priority="380">
      <formula>#REF!=1</formula>
    </cfRule>
  </conditionalFormatting>
  <conditionalFormatting sqref="I86:L92">
    <cfRule type="expression" dxfId="43" priority="134">
      <formula>$A80=1</formula>
    </cfRule>
    <cfRule type="expression" dxfId="42" priority="135">
      <formula>#REF!="sim"</formula>
    </cfRule>
  </conditionalFormatting>
  <conditionalFormatting sqref="I93:L94 I95 L95">
    <cfRule type="expression" dxfId="41" priority="166">
      <formula>$A86=1</formula>
    </cfRule>
    <cfRule type="expression" dxfId="40" priority="167">
      <formula>#REF!="sim"</formula>
    </cfRule>
  </conditionalFormatting>
  <conditionalFormatting sqref="I173:L174">
    <cfRule type="expression" dxfId="39" priority="144">
      <formula>$A163=1</formula>
    </cfRule>
    <cfRule type="expression" dxfId="38" priority="145">
      <formula>#REF!="sim"</formula>
    </cfRule>
  </conditionalFormatting>
  <conditionalFormatting sqref="I145:M145 M146 B154:H154">
    <cfRule type="expression" dxfId="37" priority="895">
      <formula>#REF!="sim"</formula>
    </cfRule>
    <cfRule type="expression" dxfId="36" priority="894">
      <formula>$A111=1</formula>
    </cfRule>
  </conditionalFormatting>
  <conditionalFormatting sqref="I139:O139 J140:N140 J141:O141 C186 B187:H187 C303:C304">
    <cfRule type="expression" dxfId="35" priority="121">
      <formula>#REF!="sim"</formula>
    </cfRule>
    <cfRule type="expression" dxfId="34" priority="120">
      <formula>$A110=1</formula>
    </cfRule>
  </conditionalFormatting>
  <conditionalFormatting sqref="J43:K43">
    <cfRule type="expression" dxfId="33" priority="392">
      <formula>$A18=1</formula>
    </cfRule>
    <cfRule type="expression" dxfId="32" priority="393">
      <formula>#REF!="sim"</formula>
    </cfRule>
  </conditionalFormatting>
  <conditionalFormatting sqref="J95:K96 I96 L96 I97:N98">
    <cfRule type="expression" dxfId="31" priority="276">
      <formula>$A87=1</formula>
    </cfRule>
    <cfRule type="expression" dxfId="30" priority="277">
      <formula>#REF!="sim"</formula>
    </cfRule>
  </conditionalFormatting>
  <conditionalFormatting sqref="J135:K137 J137:J138 B138:H138">
    <cfRule type="expression" dxfId="29" priority="256">
      <formula>$A109=1</formula>
    </cfRule>
    <cfRule type="expression" dxfId="28" priority="257">
      <formula>#REF!="sim"</formula>
    </cfRule>
  </conditionalFormatting>
  <conditionalFormatting sqref="J148:K149">
    <cfRule type="expression" dxfId="27" priority="38">
      <formula>#REF!="sim"</formula>
    </cfRule>
    <cfRule type="expression" dxfId="26" priority="37">
      <formula>$A113=1</formula>
    </cfRule>
  </conditionalFormatting>
  <conditionalFormatting sqref="J163:K168">
    <cfRule type="expression" dxfId="25" priority="53">
      <formula>$A153=1</formula>
    </cfRule>
    <cfRule type="expression" dxfId="24" priority="54">
      <formula>#REF!="sim"</formula>
    </cfRule>
  </conditionalFormatting>
  <conditionalFormatting sqref="J146:L146 I147:L147 B152:H153 C156:H156 B157:H157 B158:G158 B159:H161 B162 D162:F162 H162 C162:C171">
    <cfRule type="expression" dxfId="23" priority="71">
      <formula>#REF!="sim"</formula>
    </cfRule>
    <cfRule type="expression" dxfId="22" priority="70">
      <formula>$A111=1</formula>
    </cfRule>
  </conditionalFormatting>
  <conditionalFormatting sqref="J151:L151 I163:I166 I169:I172 J171:L172">
    <cfRule type="expression" dxfId="21" priority="139">
      <formula>#REF!="sim"</formula>
    </cfRule>
    <cfRule type="expression" dxfId="20" priority="138">
      <formula>#REF!=1</formula>
    </cfRule>
  </conditionalFormatting>
  <conditionalFormatting sqref="L43">
    <cfRule type="expression" dxfId="19" priority="200">
      <formula>$A19=1</formula>
    </cfRule>
    <cfRule type="expression" dxfId="18" priority="201">
      <formula>#REF!="sim"</formula>
    </cfRule>
  </conditionalFormatting>
  <conditionalFormatting sqref="L49 I50:L52 I53 L53 J53:K54 I175:N175 I176:M176 M177:N177">
    <cfRule type="expression" dxfId="17" priority="230">
      <formula>$A38=1</formula>
    </cfRule>
    <cfRule type="expression" dxfId="16" priority="231">
      <formula>#REF!="sim"</formula>
    </cfRule>
  </conditionalFormatting>
  <conditionalFormatting sqref="L115:L116">
    <cfRule type="expression" dxfId="15" priority="44">
      <formula>#REF!="sim"</formula>
    </cfRule>
    <cfRule type="expression" dxfId="14" priority="43">
      <formula>$A95=1</formula>
    </cfRule>
  </conditionalFormatting>
  <conditionalFormatting sqref="M195:M196">
    <cfRule type="expression" dxfId="13" priority="143">
      <formula>#REF!="sim"</formula>
    </cfRule>
    <cfRule type="expression" dxfId="12" priority="142">
      <formula>#REF!=1</formula>
    </cfRule>
  </conditionalFormatting>
  <conditionalFormatting sqref="O106">
    <cfRule type="expression" dxfId="11" priority="6">
      <formula>#REF!="sim"</formula>
    </cfRule>
    <cfRule type="expression" dxfId="10" priority="5">
      <formula>$A88=1</formula>
    </cfRule>
  </conditionalFormatting>
  <conditionalFormatting sqref="O137 O143">
    <cfRule type="expression" dxfId="9" priority="10">
      <formula>#REF!="sim"</formula>
    </cfRule>
    <cfRule type="expression" dxfId="8" priority="9">
      <formula>$A137=1</formula>
    </cfRule>
  </conditionalFormatting>
  <conditionalFormatting sqref="O145">
    <cfRule type="expression" dxfId="7" priority="4">
      <formula>#REF!="sim"</formula>
    </cfRule>
    <cfRule type="expression" dxfId="6" priority="3">
      <formula>$A127=1</formula>
    </cfRule>
  </conditionalFormatting>
  <conditionalFormatting sqref="O153 O182:O183">
    <cfRule type="expression" dxfId="5" priority="1">
      <formula>$A135=1</formula>
    </cfRule>
    <cfRule type="expression" dxfId="4" priority="2">
      <formula>#REF!="sim"</formula>
    </cfRule>
  </conditionalFormatting>
  <dataValidations count="1">
    <dataValidation type="list" allowBlank="1" showInputMessage="1" showErrorMessage="1" sqref="M4:M310" xr:uid="{A3BFA3E6-8B1C-4995-A733-80BC8DB37EF8}">
      <formula1>"CALIBRADO, DESCALIBRADO, EM CALIBRAÇÃO, EXCEÇÃO DE TMMDE, NECESSÁRIO MANUTENÇÃO, SUCATA,"</formula1>
    </dataValidation>
  </dataValidations>
  <pageMargins left="0.25" right="0.25" top="0.75" bottom="0.75" header="0.3" footer="0.3"/>
  <pageSetup paperSize="9" scale="45" fitToHeight="0" orientation="landscape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417E5-F254-48FF-87EB-4FA4C711684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57AD-45C3-477A-9ADF-739457008B88}">
  <sheetPr>
    <tabColor rgb="FFFFFF00"/>
  </sheetPr>
  <dimension ref="A1:I71"/>
  <sheetViews>
    <sheetView zoomScale="18" zoomScaleNormal="18" workbookViewId="0">
      <selection activeCell="O70" sqref="O70"/>
    </sheetView>
  </sheetViews>
  <sheetFormatPr defaultColWidth="9.140625" defaultRowHeight="87" customHeight="1" x14ac:dyDescent="0.4"/>
  <cols>
    <col min="1" max="1" width="36.85546875" style="135" bestFit="1" customWidth="1"/>
    <col min="2" max="2" width="108.28515625" style="136" bestFit="1" customWidth="1"/>
    <col min="3" max="3" width="55.42578125" style="136" bestFit="1" customWidth="1"/>
    <col min="4" max="4" width="62" style="136" bestFit="1" customWidth="1"/>
    <col min="5" max="5" width="47.7109375" style="136" bestFit="1" customWidth="1"/>
    <col min="6" max="6" width="51.140625" style="136" bestFit="1" customWidth="1"/>
    <col min="7" max="7" width="44.5703125" style="134" hidden="1" customWidth="1"/>
    <col min="8" max="8" width="43.5703125" style="141" customWidth="1"/>
    <col min="9" max="9" width="75.140625" style="136" bestFit="1" customWidth="1"/>
    <col min="10" max="16384" width="9.140625" style="134"/>
  </cols>
  <sheetData>
    <row r="1" spans="1:9" ht="87" customHeight="1" x14ac:dyDescent="0.4">
      <c r="A1" s="185" t="s">
        <v>1089</v>
      </c>
      <c r="B1" s="186"/>
      <c r="C1" s="186"/>
      <c r="D1" s="186"/>
      <c r="E1" s="186"/>
      <c r="F1" s="186"/>
      <c r="G1" s="186"/>
      <c r="H1" s="186"/>
      <c r="I1" s="186"/>
    </row>
    <row r="2" spans="1:9" ht="74.25" customHeight="1" x14ac:dyDescent="0.4">
      <c r="A2" s="187"/>
      <c r="B2" s="188"/>
      <c r="C2" s="188"/>
      <c r="D2" s="188"/>
      <c r="E2" s="188"/>
      <c r="F2" s="188"/>
      <c r="G2" s="188"/>
      <c r="H2" s="188"/>
      <c r="I2" s="188"/>
    </row>
    <row r="3" spans="1:9" ht="87" hidden="1" customHeight="1" x14ac:dyDescent="0.4">
      <c r="A3" s="138"/>
      <c r="B3" s="139"/>
      <c r="C3" s="139"/>
      <c r="D3" s="139"/>
      <c r="E3" s="139"/>
      <c r="F3" s="139"/>
      <c r="G3" s="140"/>
      <c r="I3" s="139"/>
    </row>
    <row r="4" spans="1:9" ht="87" customHeight="1" x14ac:dyDescent="0.4">
      <c r="A4" s="129" t="s">
        <v>20</v>
      </c>
      <c r="B4" s="130" t="s">
        <v>22</v>
      </c>
      <c r="C4" s="130" t="s">
        <v>23</v>
      </c>
      <c r="D4" s="130" t="s">
        <v>26</v>
      </c>
      <c r="E4" s="129" t="s">
        <v>1050</v>
      </c>
      <c r="F4" s="129" t="s">
        <v>1049</v>
      </c>
      <c r="G4" s="189" t="s">
        <v>1071</v>
      </c>
      <c r="H4" s="189"/>
      <c r="I4" s="129" t="s">
        <v>27</v>
      </c>
    </row>
    <row r="5" spans="1:9" ht="87" customHeight="1" x14ac:dyDescent="0.4">
      <c r="A5" s="133" t="s">
        <v>1138</v>
      </c>
      <c r="B5" s="55" t="s">
        <v>1139</v>
      </c>
      <c r="C5" s="55" t="s">
        <v>115</v>
      </c>
      <c r="D5" s="55" t="s">
        <v>44</v>
      </c>
      <c r="E5" s="55" t="s">
        <v>44</v>
      </c>
      <c r="F5" s="137">
        <v>46175</v>
      </c>
      <c r="G5" s="158"/>
      <c r="H5" s="55" t="s">
        <v>128</v>
      </c>
      <c r="I5" s="132" t="s">
        <v>1048</v>
      </c>
    </row>
    <row r="6" spans="1:9" ht="87" customHeight="1" x14ac:dyDescent="0.4">
      <c r="A6" s="133" t="s">
        <v>1140</v>
      </c>
      <c r="B6" s="55" t="s">
        <v>1139</v>
      </c>
      <c r="C6" s="55" t="s">
        <v>115</v>
      </c>
      <c r="D6" s="55" t="s">
        <v>44</v>
      </c>
      <c r="E6" s="55" t="s">
        <v>44</v>
      </c>
      <c r="F6" s="137">
        <v>46175</v>
      </c>
      <c r="G6" s="158"/>
      <c r="H6" s="55" t="s">
        <v>128</v>
      </c>
      <c r="I6" s="132" t="s">
        <v>1048</v>
      </c>
    </row>
    <row r="7" spans="1:9" ht="87" customHeight="1" x14ac:dyDescent="0.4">
      <c r="A7" s="133" t="s">
        <v>1146</v>
      </c>
      <c r="B7" s="55" t="s">
        <v>1147</v>
      </c>
      <c r="C7" s="55" t="s">
        <v>1148</v>
      </c>
      <c r="D7" s="55" t="s">
        <v>44</v>
      </c>
      <c r="E7" s="55" t="s">
        <v>44</v>
      </c>
      <c r="F7" s="137">
        <v>46175</v>
      </c>
      <c r="G7" s="158"/>
      <c r="H7" s="55" t="s">
        <v>128</v>
      </c>
      <c r="I7" s="132" t="s">
        <v>1048</v>
      </c>
    </row>
    <row r="8" spans="1:9" ht="87" customHeight="1" x14ac:dyDescent="0.4">
      <c r="A8" s="133" t="s">
        <v>1149</v>
      </c>
      <c r="B8" s="55" t="s">
        <v>1147</v>
      </c>
      <c r="C8" s="55" t="s">
        <v>1148</v>
      </c>
      <c r="D8" s="55" t="s">
        <v>44</v>
      </c>
      <c r="E8" s="55" t="s">
        <v>44</v>
      </c>
      <c r="F8" s="137">
        <v>46175</v>
      </c>
      <c r="G8" s="158"/>
      <c r="H8" s="55" t="s">
        <v>128</v>
      </c>
      <c r="I8" s="132" t="s">
        <v>1048</v>
      </c>
    </row>
    <row r="9" spans="1:9" ht="87" customHeight="1" x14ac:dyDescent="0.4">
      <c r="A9" s="133" t="s">
        <v>1150</v>
      </c>
      <c r="B9" s="55" t="s">
        <v>1147</v>
      </c>
      <c r="C9" s="55" t="s">
        <v>127</v>
      </c>
      <c r="D9" s="55" t="s">
        <v>44</v>
      </c>
      <c r="E9" s="55" t="s">
        <v>44</v>
      </c>
      <c r="F9" s="137">
        <v>46175</v>
      </c>
      <c r="G9" s="158"/>
      <c r="H9" s="55" t="s">
        <v>128</v>
      </c>
      <c r="I9" s="132" t="s">
        <v>1048</v>
      </c>
    </row>
    <row r="10" spans="1:9" ht="87" customHeight="1" x14ac:dyDescent="0.4">
      <c r="A10" s="133" t="s">
        <v>1137</v>
      </c>
      <c r="B10" s="55" t="s">
        <v>126</v>
      </c>
      <c r="C10" s="55" t="s">
        <v>128</v>
      </c>
      <c r="D10" s="55" t="s">
        <v>44</v>
      </c>
      <c r="E10" s="55" t="s">
        <v>44</v>
      </c>
      <c r="F10" s="137">
        <v>46176</v>
      </c>
      <c r="G10" s="158"/>
      <c r="H10" s="55" t="s">
        <v>128</v>
      </c>
      <c r="I10" s="132" t="s">
        <v>1048</v>
      </c>
    </row>
    <row r="11" spans="1:9" ht="87" customHeight="1" x14ac:dyDescent="0.4">
      <c r="A11" s="133" t="s">
        <v>1136</v>
      </c>
      <c r="B11" s="55" t="s">
        <v>126</v>
      </c>
      <c r="C11" s="55" t="s">
        <v>128</v>
      </c>
      <c r="D11" s="55" t="s">
        <v>44</v>
      </c>
      <c r="E11" s="55" t="s">
        <v>44</v>
      </c>
      <c r="F11" s="137">
        <v>46175</v>
      </c>
      <c r="G11" s="158"/>
      <c r="H11" s="55" t="s">
        <v>128</v>
      </c>
      <c r="I11" s="132" t="s">
        <v>1048</v>
      </c>
    </row>
    <row r="12" spans="1:9" ht="87" customHeight="1" x14ac:dyDescent="0.4">
      <c r="A12" s="133" t="s">
        <v>1116</v>
      </c>
      <c r="B12" s="55" t="s">
        <v>1117</v>
      </c>
      <c r="C12" s="55" t="s">
        <v>1118</v>
      </c>
      <c r="D12" s="55" t="s">
        <v>44</v>
      </c>
      <c r="E12" s="55" t="s">
        <v>44</v>
      </c>
      <c r="F12" s="137">
        <v>46175</v>
      </c>
      <c r="G12" s="131"/>
      <c r="H12" s="55" t="s">
        <v>1119</v>
      </c>
      <c r="I12" s="132" t="s">
        <v>1048</v>
      </c>
    </row>
    <row r="13" spans="1:9" ht="87" customHeight="1" x14ac:dyDescent="0.4">
      <c r="A13" s="133" t="s">
        <v>1120</v>
      </c>
      <c r="B13" s="55" t="s">
        <v>1117</v>
      </c>
      <c r="C13" s="55" t="s">
        <v>1118</v>
      </c>
      <c r="D13" s="55" t="s">
        <v>1121</v>
      </c>
      <c r="E13" s="55" t="s">
        <v>1122</v>
      </c>
      <c r="F13" s="137">
        <v>46175</v>
      </c>
      <c r="G13" s="131"/>
      <c r="H13" s="55" t="s">
        <v>1123</v>
      </c>
      <c r="I13" s="132" t="s">
        <v>1048</v>
      </c>
    </row>
    <row r="14" spans="1:9" ht="87" customHeight="1" x14ac:dyDescent="0.4">
      <c r="A14" s="133" t="s">
        <v>1142</v>
      </c>
      <c r="B14" s="55" t="s">
        <v>1117</v>
      </c>
      <c r="C14" s="55" t="s">
        <v>1118</v>
      </c>
      <c r="D14" s="55" t="s">
        <v>1094</v>
      </c>
      <c r="E14" s="55" t="s">
        <v>1092</v>
      </c>
      <c r="F14" s="137">
        <v>46175</v>
      </c>
      <c r="G14" s="158"/>
      <c r="H14" s="55" t="s">
        <v>128</v>
      </c>
      <c r="I14" s="132" t="s">
        <v>1048</v>
      </c>
    </row>
    <row r="15" spans="1:9" ht="87" customHeight="1" x14ac:dyDescent="0.4">
      <c r="A15" s="133" t="s">
        <v>1142</v>
      </c>
      <c r="B15" s="55" t="s">
        <v>1117</v>
      </c>
      <c r="C15" s="55" t="s">
        <v>1118</v>
      </c>
      <c r="D15" s="55" t="s">
        <v>44</v>
      </c>
      <c r="E15" s="55" t="s">
        <v>44</v>
      </c>
      <c r="F15" s="137">
        <v>46175</v>
      </c>
      <c r="G15" s="158"/>
      <c r="H15" s="55" t="s">
        <v>128</v>
      </c>
      <c r="I15" s="132" t="s">
        <v>1048</v>
      </c>
    </row>
    <row r="16" spans="1:9" ht="87" customHeight="1" x14ac:dyDescent="0.4">
      <c r="A16" s="133" t="s">
        <v>1170</v>
      </c>
      <c r="B16" s="55" t="s">
        <v>1117</v>
      </c>
      <c r="C16" s="55" t="s">
        <v>128</v>
      </c>
      <c r="D16" s="55" t="s">
        <v>44</v>
      </c>
      <c r="E16" s="55" t="s">
        <v>44</v>
      </c>
      <c r="F16" s="137">
        <v>46175</v>
      </c>
      <c r="G16" s="158"/>
      <c r="H16" s="55" t="s">
        <v>128</v>
      </c>
      <c r="I16" s="132" t="s">
        <v>1048</v>
      </c>
    </row>
    <row r="17" spans="1:9" ht="87" customHeight="1" x14ac:dyDescent="0.4">
      <c r="A17" s="133" t="s">
        <v>1171</v>
      </c>
      <c r="B17" s="55" t="s">
        <v>1173</v>
      </c>
      <c r="C17" s="55" t="s">
        <v>1118</v>
      </c>
      <c r="D17" s="55" t="s">
        <v>44</v>
      </c>
      <c r="E17" s="55" t="s">
        <v>44</v>
      </c>
      <c r="F17" s="137">
        <v>46175</v>
      </c>
      <c r="G17" s="158"/>
      <c r="H17" s="55" t="s">
        <v>128</v>
      </c>
      <c r="I17" s="132" t="s">
        <v>1048</v>
      </c>
    </row>
    <row r="18" spans="1:9" ht="87" customHeight="1" x14ac:dyDescent="0.4">
      <c r="A18" s="133" t="s">
        <v>1172</v>
      </c>
      <c r="B18" s="55" t="s">
        <v>1173</v>
      </c>
      <c r="C18" s="55" t="s">
        <v>128</v>
      </c>
      <c r="D18" s="55" t="s">
        <v>44</v>
      </c>
      <c r="E18" s="55" t="s">
        <v>44</v>
      </c>
      <c r="F18" s="137">
        <v>46175</v>
      </c>
      <c r="G18" s="158"/>
      <c r="H18" s="55" t="s">
        <v>128</v>
      </c>
      <c r="I18" s="132" t="s">
        <v>1048</v>
      </c>
    </row>
    <row r="19" spans="1:9" ht="87" customHeight="1" x14ac:dyDescent="0.4">
      <c r="A19" s="133" t="s">
        <v>1158</v>
      </c>
      <c r="B19" s="55" t="s">
        <v>1159</v>
      </c>
      <c r="C19" s="55" t="s">
        <v>1160</v>
      </c>
      <c r="D19" s="55" t="s">
        <v>1156</v>
      </c>
      <c r="E19" s="55" t="s">
        <v>1154</v>
      </c>
      <c r="F19" s="137">
        <v>46175</v>
      </c>
      <c r="G19" s="158"/>
      <c r="H19" s="55" t="s">
        <v>128</v>
      </c>
      <c r="I19" s="132" t="s">
        <v>1048</v>
      </c>
    </row>
    <row r="20" spans="1:9" ht="87" customHeight="1" x14ac:dyDescent="0.4">
      <c r="A20" s="133" t="s">
        <v>1161</v>
      </c>
      <c r="B20" s="159" t="s">
        <v>1162</v>
      </c>
      <c r="C20" s="55" t="s">
        <v>1163</v>
      </c>
      <c r="D20" s="55" t="s">
        <v>19</v>
      </c>
      <c r="E20" s="55" t="s">
        <v>1143</v>
      </c>
      <c r="F20" s="137">
        <v>46176</v>
      </c>
      <c r="G20" s="158"/>
      <c r="H20" s="55" t="s">
        <v>128</v>
      </c>
      <c r="I20" s="132" t="s">
        <v>1048</v>
      </c>
    </row>
    <row r="21" spans="1:9" ht="87" customHeight="1" x14ac:dyDescent="0.4">
      <c r="A21" s="133" t="s">
        <v>1164</v>
      </c>
      <c r="B21" s="159" t="s">
        <v>1162</v>
      </c>
      <c r="C21" s="55" t="s">
        <v>1163</v>
      </c>
      <c r="D21" s="55" t="s">
        <v>19</v>
      </c>
      <c r="E21" s="55" t="s">
        <v>1143</v>
      </c>
      <c r="F21" s="137">
        <v>46177</v>
      </c>
      <c r="G21" s="158"/>
      <c r="H21" s="55" t="s">
        <v>128</v>
      </c>
      <c r="I21" s="132" t="s">
        <v>1048</v>
      </c>
    </row>
    <row r="22" spans="1:9" ht="87" customHeight="1" x14ac:dyDescent="0.4">
      <c r="A22" s="133" t="s">
        <v>1097</v>
      </c>
      <c r="B22" s="55" t="s">
        <v>1098</v>
      </c>
      <c r="C22" s="55" t="s">
        <v>1099</v>
      </c>
      <c r="D22" s="55" t="s">
        <v>1093</v>
      </c>
      <c r="E22" s="55" t="s">
        <v>1092</v>
      </c>
      <c r="F22" s="137">
        <v>46175</v>
      </c>
      <c r="G22" s="131"/>
      <c r="H22" s="55" t="s">
        <v>90</v>
      </c>
      <c r="I22" s="132" t="s">
        <v>1048</v>
      </c>
    </row>
    <row r="23" spans="1:9" ht="87" customHeight="1" x14ac:dyDescent="0.4">
      <c r="A23" s="133" t="s">
        <v>1216</v>
      </c>
      <c r="B23" s="55" t="s">
        <v>1236</v>
      </c>
      <c r="C23" s="55" t="s">
        <v>375</v>
      </c>
      <c r="D23" s="55" t="s">
        <v>1114</v>
      </c>
      <c r="E23" s="55" t="s">
        <v>1218</v>
      </c>
      <c r="F23" s="137">
        <v>46211</v>
      </c>
      <c r="G23" s="158"/>
      <c r="H23" s="55" t="s">
        <v>128</v>
      </c>
      <c r="I23" s="132" t="s">
        <v>1217</v>
      </c>
    </row>
    <row r="24" spans="1:9" ht="87" customHeight="1" x14ac:dyDescent="0.4">
      <c r="A24" s="133" t="s">
        <v>1219</v>
      </c>
      <c r="B24" s="55" t="s">
        <v>1237</v>
      </c>
      <c r="C24" s="55" t="s">
        <v>375</v>
      </c>
      <c r="D24" s="55" t="s">
        <v>1114</v>
      </c>
      <c r="E24" s="55" t="s">
        <v>1218</v>
      </c>
      <c r="F24" s="137">
        <v>46211</v>
      </c>
      <c r="G24" s="158"/>
      <c r="H24" s="55" t="s">
        <v>128</v>
      </c>
      <c r="I24" s="132" t="s">
        <v>1217</v>
      </c>
    </row>
    <row r="25" spans="1:9" ht="87" customHeight="1" x14ac:dyDescent="0.4">
      <c r="A25" s="133" t="s">
        <v>1220</v>
      </c>
      <c r="B25" s="55" t="s">
        <v>1238</v>
      </c>
      <c r="C25" s="55" t="s">
        <v>1239</v>
      </c>
      <c r="D25" s="55" t="s">
        <v>1114</v>
      </c>
      <c r="E25" s="55" t="s">
        <v>1218</v>
      </c>
      <c r="F25" s="137">
        <v>46211</v>
      </c>
      <c r="G25" s="158"/>
      <c r="H25" s="55" t="s">
        <v>128</v>
      </c>
      <c r="I25" s="132" t="s">
        <v>1240</v>
      </c>
    </row>
    <row r="26" spans="1:9" ht="87" customHeight="1" x14ac:dyDescent="0.4">
      <c r="A26" s="133" t="s">
        <v>1221</v>
      </c>
      <c r="B26" s="55" t="s">
        <v>1241</v>
      </c>
      <c r="C26" s="55" t="s">
        <v>1239</v>
      </c>
      <c r="D26" s="55" t="s">
        <v>1114</v>
      </c>
      <c r="E26" s="55" t="s">
        <v>1218</v>
      </c>
      <c r="F26" s="137">
        <v>46211</v>
      </c>
      <c r="G26" s="158"/>
      <c r="H26" s="55" t="s">
        <v>128</v>
      </c>
      <c r="I26" s="132" t="s">
        <v>1240</v>
      </c>
    </row>
    <row r="27" spans="1:9" ht="87" customHeight="1" x14ac:dyDescent="0.4">
      <c r="A27" s="133" t="s">
        <v>1222</v>
      </c>
      <c r="B27" s="55" t="s">
        <v>1242</v>
      </c>
      <c r="C27" s="55" t="s">
        <v>1239</v>
      </c>
      <c r="D27" s="55" t="s">
        <v>1114</v>
      </c>
      <c r="E27" s="55" t="s">
        <v>1218</v>
      </c>
      <c r="F27" s="137">
        <v>46211</v>
      </c>
      <c r="G27" s="158"/>
      <c r="H27" s="55" t="s">
        <v>128</v>
      </c>
      <c r="I27" s="132"/>
    </row>
    <row r="28" spans="1:9" ht="87" customHeight="1" x14ac:dyDescent="0.4">
      <c r="A28" s="133" t="s">
        <v>1223</v>
      </c>
      <c r="B28" s="55" t="s">
        <v>1243</v>
      </c>
      <c r="C28" s="55" t="s">
        <v>1239</v>
      </c>
      <c r="D28" s="55" t="s">
        <v>1114</v>
      </c>
      <c r="E28" s="55" t="s">
        <v>1218</v>
      </c>
      <c r="F28" s="137">
        <v>46211</v>
      </c>
      <c r="G28" s="158"/>
      <c r="H28" s="55" t="s">
        <v>128</v>
      </c>
      <c r="I28" s="132"/>
    </row>
    <row r="29" spans="1:9" ht="87" customHeight="1" x14ac:dyDescent="0.4">
      <c r="A29" s="133" t="s">
        <v>1231</v>
      </c>
      <c r="B29" s="55" t="s">
        <v>1244</v>
      </c>
      <c r="C29" s="55" t="s">
        <v>1239</v>
      </c>
      <c r="D29" s="55" t="s">
        <v>1114</v>
      </c>
      <c r="E29" s="55" t="s">
        <v>1218</v>
      </c>
      <c r="F29" s="137">
        <v>46211</v>
      </c>
      <c r="G29" s="158"/>
      <c r="H29" s="55" t="s">
        <v>128</v>
      </c>
      <c r="I29" s="132" t="s">
        <v>1245</v>
      </c>
    </row>
    <row r="30" spans="1:9" ht="87" customHeight="1" x14ac:dyDescent="0.4">
      <c r="A30" s="133" t="s">
        <v>1232</v>
      </c>
      <c r="B30" s="55" t="s">
        <v>1246</v>
      </c>
      <c r="C30" s="55" t="s">
        <v>1239</v>
      </c>
      <c r="D30" s="55" t="s">
        <v>1114</v>
      </c>
      <c r="E30" s="55" t="s">
        <v>1218</v>
      </c>
      <c r="F30" s="137">
        <v>46211</v>
      </c>
      <c r="G30" s="158"/>
      <c r="H30" s="55" t="s">
        <v>128</v>
      </c>
      <c r="I30" s="132" t="s">
        <v>1247</v>
      </c>
    </row>
    <row r="31" spans="1:9" ht="87" customHeight="1" x14ac:dyDescent="0.4">
      <c r="A31" s="133" t="s">
        <v>1233</v>
      </c>
      <c r="B31" s="55" t="s">
        <v>1248</v>
      </c>
      <c r="C31" s="55" t="s">
        <v>1239</v>
      </c>
      <c r="D31" s="55" t="s">
        <v>1114</v>
      </c>
      <c r="E31" s="55" t="s">
        <v>1218</v>
      </c>
      <c r="F31" s="137">
        <v>46211</v>
      </c>
      <c r="H31" s="55" t="s">
        <v>128</v>
      </c>
      <c r="I31" s="132" t="s">
        <v>1247</v>
      </c>
    </row>
    <row r="32" spans="1:9" ht="87" customHeight="1" x14ac:dyDescent="0.4">
      <c r="A32" s="133" t="s">
        <v>1234</v>
      </c>
      <c r="B32" s="55" t="s">
        <v>1249</v>
      </c>
      <c r="C32" s="55" t="s">
        <v>1250</v>
      </c>
      <c r="D32" s="55" t="s">
        <v>1114</v>
      </c>
      <c r="E32" s="55" t="s">
        <v>1218</v>
      </c>
      <c r="F32" s="137">
        <v>46211</v>
      </c>
      <c r="H32" s="55" t="s">
        <v>128</v>
      </c>
      <c r="I32" s="132"/>
    </row>
    <row r="33" spans="1:9" ht="87" customHeight="1" x14ac:dyDescent="0.4">
      <c r="A33" s="133" t="s">
        <v>1235</v>
      </c>
      <c r="B33" s="55" t="s">
        <v>1251</v>
      </c>
      <c r="C33" s="55" t="s">
        <v>1250</v>
      </c>
      <c r="D33" s="55" t="s">
        <v>1114</v>
      </c>
      <c r="E33" s="55" t="s">
        <v>1218</v>
      </c>
      <c r="F33" s="137">
        <v>46211</v>
      </c>
      <c r="H33" s="55" t="s">
        <v>128</v>
      </c>
      <c r="I33" s="132"/>
    </row>
    <row r="34" spans="1:9" ht="87" customHeight="1" x14ac:dyDescent="0.4">
      <c r="A34" s="133" t="s">
        <v>1294</v>
      </c>
      <c r="B34" s="55" t="s">
        <v>1297</v>
      </c>
      <c r="C34" s="55" t="s">
        <v>1250</v>
      </c>
      <c r="D34" s="55" t="s">
        <v>1114</v>
      </c>
      <c r="E34" s="55" t="s">
        <v>1143</v>
      </c>
      <c r="F34" s="137">
        <v>46240</v>
      </c>
      <c r="H34" s="55" t="s">
        <v>128</v>
      </c>
      <c r="I34" s="132" t="s">
        <v>1301</v>
      </c>
    </row>
    <row r="35" spans="1:9" ht="87" customHeight="1" x14ac:dyDescent="0.4">
      <c r="A35" s="133" t="s">
        <v>1295</v>
      </c>
      <c r="B35" s="55" t="s">
        <v>1298</v>
      </c>
      <c r="C35" s="55" t="s">
        <v>1250</v>
      </c>
      <c r="D35" s="55" t="s">
        <v>1114</v>
      </c>
      <c r="E35" s="55" t="s">
        <v>1143</v>
      </c>
      <c r="F35" s="137">
        <v>46240</v>
      </c>
      <c r="H35" s="55" t="s">
        <v>128</v>
      </c>
      <c r="I35" s="132" t="s">
        <v>1300</v>
      </c>
    </row>
    <row r="36" spans="1:9" ht="87" customHeight="1" x14ac:dyDescent="0.4">
      <c r="A36" s="133" t="s">
        <v>1296</v>
      </c>
      <c r="B36" s="55" t="s">
        <v>1299</v>
      </c>
      <c r="C36" s="55" t="s">
        <v>1250</v>
      </c>
      <c r="D36" s="55" t="s">
        <v>1114</v>
      </c>
      <c r="E36" s="55" t="s">
        <v>1143</v>
      </c>
      <c r="F36" s="137">
        <v>46240</v>
      </c>
      <c r="H36" s="55" t="s">
        <v>128</v>
      </c>
      <c r="I36" s="132" t="s">
        <v>1300</v>
      </c>
    </row>
    <row r="37" spans="1:9" ht="87" customHeight="1" x14ac:dyDescent="0.4">
      <c r="A37" s="133" t="s">
        <v>1101</v>
      </c>
      <c r="B37" s="55" t="s">
        <v>1100</v>
      </c>
      <c r="C37" s="55" t="s">
        <v>90</v>
      </c>
      <c r="D37" s="55" t="s">
        <v>1102</v>
      </c>
      <c r="E37" s="55" t="s">
        <v>1092</v>
      </c>
      <c r="F37" s="137">
        <v>46175</v>
      </c>
      <c r="G37" s="161"/>
      <c r="H37" s="55" t="s">
        <v>90</v>
      </c>
      <c r="I37" s="132" t="s">
        <v>1048</v>
      </c>
    </row>
    <row r="38" spans="1:9" ht="87" customHeight="1" x14ac:dyDescent="0.4">
      <c r="A38" s="133" t="s">
        <v>1155</v>
      </c>
      <c r="B38" s="55" t="s">
        <v>1100</v>
      </c>
      <c r="C38" s="55" t="s">
        <v>1091</v>
      </c>
      <c r="D38" s="55" t="s">
        <v>1153</v>
      </c>
      <c r="E38" s="55" t="s">
        <v>1154</v>
      </c>
      <c r="F38" s="137">
        <v>46175</v>
      </c>
      <c r="H38" s="55" t="s">
        <v>128</v>
      </c>
      <c r="I38" s="132" t="s">
        <v>1048</v>
      </c>
    </row>
    <row r="39" spans="1:9" ht="87" customHeight="1" x14ac:dyDescent="0.4">
      <c r="A39" s="133" t="s">
        <v>1157</v>
      </c>
      <c r="B39" s="55" t="s">
        <v>1100</v>
      </c>
      <c r="C39" s="55" t="s">
        <v>1091</v>
      </c>
      <c r="D39" s="55" t="s">
        <v>1156</v>
      </c>
      <c r="E39" s="55" t="s">
        <v>1154</v>
      </c>
      <c r="F39" s="137">
        <v>46175</v>
      </c>
      <c r="H39" s="55" t="s">
        <v>128</v>
      </c>
      <c r="I39" s="132" t="s">
        <v>1048</v>
      </c>
    </row>
    <row r="40" spans="1:9" ht="87" customHeight="1" x14ac:dyDescent="0.4">
      <c r="A40" s="133" t="s">
        <v>1069</v>
      </c>
      <c r="B40" s="55" t="s">
        <v>1086</v>
      </c>
      <c r="C40" s="55" t="s">
        <v>1072</v>
      </c>
      <c r="D40" s="55" t="s">
        <v>44</v>
      </c>
      <c r="E40" s="55" t="s">
        <v>44</v>
      </c>
      <c r="F40" s="137">
        <v>46175</v>
      </c>
      <c r="G40" s="161"/>
      <c r="H40" s="55" t="s">
        <v>1088</v>
      </c>
      <c r="I40" s="132" t="s">
        <v>1048</v>
      </c>
    </row>
    <row r="41" spans="1:9" ht="87" customHeight="1" x14ac:dyDescent="0.4">
      <c r="A41" s="133" t="s">
        <v>1068</v>
      </c>
      <c r="B41" s="55" t="s">
        <v>1085</v>
      </c>
      <c r="C41" s="55" t="s">
        <v>1072</v>
      </c>
      <c r="D41" s="55" t="s">
        <v>44</v>
      </c>
      <c r="E41" s="55" t="s">
        <v>44</v>
      </c>
      <c r="F41" s="137">
        <v>46175</v>
      </c>
      <c r="G41" s="161"/>
      <c r="H41" s="55" t="s">
        <v>1087</v>
      </c>
      <c r="I41" s="132" t="s">
        <v>1048</v>
      </c>
    </row>
    <row r="42" spans="1:9" ht="87" customHeight="1" x14ac:dyDescent="0.4">
      <c r="A42" s="133" t="s">
        <v>1067</v>
      </c>
      <c r="B42" s="55" t="s">
        <v>1084</v>
      </c>
      <c r="C42" s="55" t="s">
        <v>1072</v>
      </c>
      <c r="D42" s="55" t="s">
        <v>44</v>
      </c>
      <c r="E42" s="55" t="s">
        <v>44</v>
      </c>
      <c r="F42" s="137">
        <v>46175</v>
      </c>
      <c r="G42" s="161"/>
      <c r="H42" s="55">
        <v>67802</v>
      </c>
      <c r="I42" s="132" t="s">
        <v>1048</v>
      </c>
    </row>
    <row r="43" spans="1:9" ht="87" customHeight="1" x14ac:dyDescent="0.4">
      <c r="A43" s="154" t="s">
        <v>1066</v>
      </c>
      <c r="B43" s="155" t="s">
        <v>1083</v>
      </c>
      <c r="C43" s="155" t="s">
        <v>508</v>
      </c>
      <c r="D43" s="155" t="s">
        <v>44</v>
      </c>
      <c r="E43" s="155" t="s">
        <v>44</v>
      </c>
      <c r="F43" s="156">
        <v>46175</v>
      </c>
      <c r="G43" s="161"/>
      <c r="H43" s="155" t="s">
        <v>90</v>
      </c>
      <c r="I43" s="157" t="s">
        <v>1048</v>
      </c>
    </row>
    <row r="44" spans="1:9" ht="87" customHeight="1" x14ac:dyDescent="0.4">
      <c r="A44" s="133" t="s">
        <v>1065</v>
      </c>
      <c r="B44" s="55" t="s">
        <v>1081</v>
      </c>
      <c r="C44" s="55" t="s">
        <v>508</v>
      </c>
      <c r="D44" s="55" t="s">
        <v>44</v>
      </c>
      <c r="E44" s="55" t="s">
        <v>44</v>
      </c>
      <c r="F44" s="137">
        <v>46175</v>
      </c>
      <c r="G44" s="131"/>
      <c r="H44" s="55" t="s">
        <v>1082</v>
      </c>
      <c r="I44" s="157" t="s">
        <v>1048</v>
      </c>
    </row>
    <row r="45" spans="1:9" ht="87" customHeight="1" x14ac:dyDescent="0.4">
      <c r="A45" s="133" t="s">
        <v>1062</v>
      </c>
      <c r="B45" s="55" t="s">
        <v>1077</v>
      </c>
      <c r="C45" s="55" t="s">
        <v>90</v>
      </c>
      <c r="D45" s="55" t="s">
        <v>44</v>
      </c>
      <c r="E45" s="55" t="s">
        <v>44</v>
      </c>
      <c r="F45" s="137">
        <v>46175</v>
      </c>
      <c r="G45" s="131"/>
      <c r="H45" s="55" t="s">
        <v>1078</v>
      </c>
      <c r="I45" s="157" t="s">
        <v>1048</v>
      </c>
    </row>
    <row r="46" spans="1:9" ht="87" customHeight="1" x14ac:dyDescent="0.4">
      <c r="A46" s="133" t="s">
        <v>1063</v>
      </c>
      <c r="B46" s="55" t="s">
        <v>1077</v>
      </c>
      <c r="C46" s="55" t="s">
        <v>90</v>
      </c>
      <c r="D46" s="55" t="s">
        <v>44</v>
      </c>
      <c r="E46" s="55" t="s">
        <v>44</v>
      </c>
      <c r="F46" s="137">
        <v>46175</v>
      </c>
      <c r="G46" s="131"/>
      <c r="H46" s="55" t="s">
        <v>1079</v>
      </c>
      <c r="I46" s="157" t="s">
        <v>1048</v>
      </c>
    </row>
    <row r="47" spans="1:9" ht="87" customHeight="1" x14ac:dyDescent="0.4">
      <c r="A47" s="133" t="s">
        <v>1060</v>
      </c>
      <c r="B47" s="55" t="s">
        <v>1074</v>
      </c>
      <c r="C47" s="55" t="s">
        <v>1072</v>
      </c>
      <c r="D47" s="55" t="s">
        <v>44</v>
      </c>
      <c r="E47" s="55" t="s">
        <v>44</v>
      </c>
      <c r="F47" s="137">
        <v>46175</v>
      </c>
      <c r="G47" s="131"/>
      <c r="H47" s="55">
        <v>225948</v>
      </c>
      <c r="I47" s="157" t="s">
        <v>1048</v>
      </c>
    </row>
    <row r="48" spans="1:9" ht="87" customHeight="1" x14ac:dyDescent="0.4">
      <c r="A48" s="133" t="s">
        <v>1061</v>
      </c>
      <c r="B48" s="55" t="s">
        <v>1075</v>
      </c>
      <c r="C48" s="55" t="s">
        <v>1072</v>
      </c>
      <c r="D48" s="55" t="s">
        <v>44</v>
      </c>
      <c r="E48" s="55" t="s">
        <v>44</v>
      </c>
      <c r="F48" s="137">
        <v>46175</v>
      </c>
      <c r="G48" s="131"/>
      <c r="H48" s="55" t="s">
        <v>1076</v>
      </c>
      <c r="I48" s="157" t="s">
        <v>1048</v>
      </c>
    </row>
    <row r="49" spans="1:9" ht="87" customHeight="1" x14ac:dyDescent="0.4">
      <c r="A49" s="133" t="s">
        <v>1064</v>
      </c>
      <c r="B49" s="55" t="s">
        <v>1080</v>
      </c>
      <c r="C49" s="55" t="s">
        <v>1072</v>
      </c>
      <c r="D49" s="55" t="s">
        <v>44</v>
      </c>
      <c r="E49" s="55" t="s">
        <v>44</v>
      </c>
      <c r="F49" s="137">
        <v>46175</v>
      </c>
      <c r="G49" s="131"/>
      <c r="H49" s="55">
        <v>280210</v>
      </c>
      <c r="I49" s="157" t="s">
        <v>1048</v>
      </c>
    </row>
    <row r="50" spans="1:9" ht="87" customHeight="1" x14ac:dyDescent="0.4">
      <c r="A50" s="133" t="s">
        <v>1059</v>
      </c>
      <c r="B50" s="55" t="s">
        <v>1070</v>
      </c>
      <c r="C50" s="55" t="s">
        <v>1072</v>
      </c>
      <c r="D50" s="55" t="s">
        <v>44</v>
      </c>
      <c r="E50" s="55" t="s">
        <v>44</v>
      </c>
      <c r="F50" s="137">
        <v>46175</v>
      </c>
      <c r="G50" s="131"/>
      <c r="H50" s="55" t="s">
        <v>1073</v>
      </c>
      <c r="I50" s="157" t="s">
        <v>1048</v>
      </c>
    </row>
    <row r="51" spans="1:9" ht="87" customHeight="1" x14ac:dyDescent="0.4">
      <c r="A51" s="133" t="s">
        <v>1129</v>
      </c>
      <c r="B51" s="7" t="s">
        <v>874</v>
      </c>
      <c r="C51" s="55" t="s">
        <v>37</v>
      </c>
      <c r="D51" s="55" t="s">
        <v>44</v>
      </c>
      <c r="E51" s="55" t="s">
        <v>44</v>
      </c>
      <c r="F51" s="137">
        <v>46175</v>
      </c>
      <c r="G51" s="131"/>
      <c r="H51" s="9" t="s">
        <v>875</v>
      </c>
      <c r="I51" s="157" t="s">
        <v>1048</v>
      </c>
    </row>
    <row r="52" spans="1:9" ht="87" customHeight="1" x14ac:dyDescent="0.4">
      <c r="A52" s="133" t="s">
        <v>1151</v>
      </c>
      <c r="B52" s="55" t="s">
        <v>1152</v>
      </c>
      <c r="C52" s="55" t="s">
        <v>1091</v>
      </c>
      <c r="D52" s="55" t="s">
        <v>1153</v>
      </c>
      <c r="E52" s="55" t="s">
        <v>1154</v>
      </c>
      <c r="F52" s="137">
        <v>46175</v>
      </c>
      <c r="G52" s="158"/>
      <c r="H52" s="55" t="s">
        <v>128</v>
      </c>
      <c r="I52" s="157" t="s">
        <v>1048</v>
      </c>
    </row>
    <row r="53" spans="1:9" ht="87" customHeight="1" x14ac:dyDescent="0.4">
      <c r="A53" s="133" t="s">
        <v>1103</v>
      </c>
      <c r="B53" s="55" t="s">
        <v>1104</v>
      </c>
      <c r="C53" s="55" t="s">
        <v>1105</v>
      </c>
      <c r="D53" s="55" t="s">
        <v>1102</v>
      </c>
      <c r="E53" s="55" t="s">
        <v>1092</v>
      </c>
      <c r="F53" s="137">
        <v>46175</v>
      </c>
      <c r="G53" s="131"/>
      <c r="H53" s="55" t="s">
        <v>90</v>
      </c>
      <c r="I53" s="157" t="s">
        <v>1048</v>
      </c>
    </row>
    <row r="54" spans="1:9" ht="87" customHeight="1" x14ac:dyDescent="0.4">
      <c r="A54" s="133" t="s">
        <v>1051</v>
      </c>
      <c r="B54" s="55" t="s">
        <v>1057</v>
      </c>
      <c r="C54" s="55" t="s">
        <v>1056</v>
      </c>
      <c r="D54" s="55" t="s">
        <v>44</v>
      </c>
      <c r="E54" s="55" t="s">
        <v>44</v>
      </c>
      <c r="F54" s="137">
        <v>46175</v>
      </c>
      <c r="G54" s="131"/>
      <c r="H54" s="55" t="s">
        <v>90</v>
      </c>
      <c r="I54" s="157" t="s">
        <v>1048</v>
      </c>
    </row>
    <row r="55" spans="1:9" ht="87" customHeight="1" x14ac:dyDescent="0.4">
      <c r="A55" s="133" t="s">
        <v>1052</v>
      </c>
      <c r="B55" s="55" t="s">
        <v>1055</v>
      </c>
      <c r="C55" s="55" t="s">
        <v>1058</v>
      </c>
      <c r="D55" s="55" t="s">
        <v>44</v>
      </c>
      <c r="E55" s="55" t="s">
        <v>44</v>
      </c>
      <c r="F55" s="137">
        <v>46175</v>
      </c>
      <c r="G55" s="131"/>
      <c r="H55" s="55" t="s">
        <v>90</v>
      </c>
      <c r="I55" s="157" t="s">
        <v>1048</v>
      </c>
    </row>
    <row r="56" spans="1:9" ht="87" customHeight="1" x14ac:dyDescent="0.4">
      <c r="A56" s="133" t="s">
        <v>1053</v>
      </c>
      <c r="B56" s="55" t="s">
        <v>1055</v>
      </c>
      <c r="C56" s="55" t="s">
        <v>1058</v>
      </c>
      <c r="D56" s="55" t="s">
        <v>44</v>
      </c>
      <c r="E56" s="55" t="s">
        <v>44</v>
      </c>
      <c r="F56" s="137">
        <v>46175</v>
      </c>
      <c r="G56" s="131"/>
      <c r="H56" s="55" t="s">
        <v>90</v>
      </c>
      <c r="I56" s="157" t="s">
        <v>1048</v>
      </c>
    </row>
    <row r="57" spans="1:9" ht="87" customHeight="1" x14ac:dyDescent="0.4">
      <c r="A57" s="133" t="s">
        <v>1054</v>
      </c>
      <c r="B57" s="55" t="s">
        <v>1055</v>
      </c>
      <c r="C57" s="55" t="s">
        <v>1058</v>
      </c>
      <c r="D57" s="55" t="s">
        <v>44</v>
      </c>
      <c r="E57" s="55" t="s">
        <v>44</v>
      </c>
      <c r="F57" s="156">
        <v>46175</v>
      </c>
      <c r="G57" s="131"/>
      <c r="H57" s="55" t="s">
        <v>90</v>
      </c>
      <c r="I57" s="157" t="s">
        <v>1048</v>
      </c>
    </row>
    <row r="58" spans="1:9" ht="87" customHeight="1" x14ac:dyDescent="0.4">
      <c r="A58" s="133" t="s">
        <v>1106</v>
      </c>
      <c r="B58" s="55" t="s">
        <v>1090</v>
      </c>
      <c r="C58" s="55" t="s">
        <v>1091</v>
      </c>
      <c r="D58" s="55" t="s">
        <v>1093</v>
      </c>
      <c r="E58" s="55" t="s">
        <v>1092</v>
      </c>
      <c r="F58" s="156">
        <v>46175</v>
      </c>
      <c r="G58" s="131"/>
      <c r="H58" s="55" t="s">
        <v>90</v>
      </c>
      <c r="I58" s="132" t="s">
        <v>1048</v>
      </c>
    </row>
    <row r="59" spans="1:9" ht="87" customHeight="1" x14ac:dyDescent="0.4">
      <c r="A59" s="133" t="s">
        <v>1107</v>
      </c>
      <c r="B59" s="55" t="s">
        <v>1090</v>
      </c>
      <c r="C59" s="55" t="s">
        <v>1091</v>
      </c>
      <c r="D59" s="55" t="s">
        <v>1094</v>
      </c>
      <c r="E59" s="55" t="s">
        <v>1092</v>
      </c>
      <c r="F59" s="156">
        <v>46175</v>
      </c>
      <c r="G59" s="131"/>
      <c r="H59" s="55" t="s">
        <v>90</v>
      </c>
      <c r="I59" s="132" t="s">
        <v>1048</v>
      </c>
    </row>
    <row r="60" spans="1:9" ht="87" customHeight="1" x14ac:dyDescent="0.4">
      <c r="A60" s="133" t="s">
        <v>1108</v>
      </c>
      <c r="B60" s="55" t="s">
        <v>1090</v>
      </c>
      <c r="C60" s="55" t="s">
        <v>1091</v>
      </c>
      <c r="D60" s="55" t="s">
        <v>1095</v>
      </c>
      <c r="E60" s="55" t="s">
        <v>1096</v>
      </c>
      <c r="F60" s="156">
        <v>46175</v>
      </c>
      <c r="G60" s="131"/>
      <c r="H60" s="55" t="s">
        <v>90</v>
      </c>
      <c r="I60" s="132" t="s">
        <v>1048</v>
      </c>
    </row>
    <row r="61" spans="1:9" ht="87" customHeight="1" x14ac:dyDescent="0.4">
      <c r="A61" s="133" t="s">
        <v>1109</v>
      </c>
      <c r="B61" s="55" t="s">
        <v>1110</v>
      </c>
      <c r="C61" s="132" t="s">
        <v>1113</v>
      </c>
      <c r="D61" s="55" t="s">
        <v>1111</v>
      </c>
      <c r="E61" s="55" t="s">
        <v>1096</v>
      </c>
      <c r="F61" s="156">
        <v>46175</v>
      </c>
      <c r="G61" s="131"/>
      <c r="H61" s="55" t="s">
        <v>90</v>
      </c>
      <c r="I61" s="132" t="s">
        <v>1048</v>
      </c>
    </row>
    <row r="62" spans="1:9" ht="87" customHeight="1" x14ac:dyDescent="0.4">
      <c r="A62" s="133" t="s">
        <v>1112</v>
      </c>
      <c r="B62" s="55" t="s">
        <v>1090</v>
      </c>
      <c r="C62" s="55" t="s">
        <v>1091</v>
      </c>
      <c r="D62" s="55" t="s">
        <v>1114</v>
      </c>
      <c r="E62" s="55" t="s">
        <v>1115</v>
      </c>
      <c r="F62" s="156">
        <v>46175</v>
      </c>
      <c r="G62" s="131"/>
      <c r="H62" s="55" t="s">
        <v>90</v>
      </c>
      <c r="I62" s="132" t="s">
        <v>1048</v>
      </c>
    </row>
    <row r="63" spans="1:9" ht="87" customHeight="1" x14ac:dyDescent="0.4">
      <c r="A63" s="133" t="s">
        <v>1145</v>
      </c>
      <c r="B63" s="55" t="s">
        <v>1141</v>
      </c>
      <c r="C63" s="55" t="s">
        <v>1091</v>
      </c>
      <c r="D63" s="55"/>
      <c r="E63" s="55"/>
      <c r="F63" s="156">
        <v>46175</v>
      </c>
      <c r="G63" s="158"/>
      <c r="H63" s="55" t="s">
        <v>128</v>
      </c>
      <c r="I63" s="132" t="s">
        <v>1048</v>
      </c>
    </row>
    <row r="64" spans="1:9" ht="87" customHeight="1" x14ac:dyDescent="0.4">
      <c r="A64" s="133" t="s">
        <v>1144</v>
      </c>
      <c r="B64" s="55" t="s">
        <v>1141</v>
      </c>
      <c r="C64" s="55" t="s">
        <v>1091</v>
      </c>
      <c r="D64" s="55" t="s">
        <v>19</v>
      </c>
      <c r="E64" s="55" t="s">
        <v>1143</v>
      </c>
      <c r="F64" s="156">
        <v>46175</v>
      </c>
      <c r="G64" s="158"/>
      <c r="H64" s="55" t="s">
        <v>128</v>
      </c>
      <c r="I64" s="132" t="s">
        <v>1048</v>
      </c>
    </row>
    <row r="65" spans="1:9" ht="87" customHeight="1" x14ac:dyDescent="0.4">
      <c r="A65" s="163" t="s">
        <v>1165</v>
      </c>
      <c r="B65" s="55" t="s">
        <v>1141</v>
      </c>
      <c r="C65" s="55" t="s">
        <v>128</v>
      </c>
      <c r="D65" s="55" t="s">
        <v>1156</v>
      </c>
      <c r="E65" s="55" t="s">
        <v>1154</v>
      </c>
      <c r="F65" s="156">
        <v>46175</v>
      </c>
      <c r="G65" s="158"/>
      <c r="H65" s="55" t="s">
        <v>128</v>
      </c>
      <c r="I65" s="132" t="s">
        <v>1306</v>
      </c>
    </row>
    <row r="66" spans="1:9" ht="87" customHeight="1" x14ac:dyDescent="0.4">
      <c r="A66" s="133" t="s">
        <v>1166</v>
      </c>
      <c r="B66" s="55" t="s">
        <v>1141</v>
      </c>
      <c r="C66" s="55" t="s">
        <v>1167</v>
      </c>
      <c r="D66" s="55" t="s">
        <v>19</v>
      </c>
      <c r="E66" s="55" t="s">
        <v>1143</v>
      </c>
      <c r="F66" s="156">
        <v>46175</v>
      </c>
      <c r="G66" s="158"/>
      <c r="H66" s="55" t="s">
        <v>128</v>
      </c>
      <c r="I66" s="132" t="s">
        <v>1048</v>
      </c>
    </row>
    <row r="67" spans="1:9" ht="87" customHeight="1" x14ac:dyDescent="0.4">
      <c r="A67" s="133" t="s">
        <v>1168</v>
      </c>
      <c r="B67" s="55" t="s">
        <v>1141</v>
      </c>
      <c r="C67" s="55" t="s">
        <v>1167</v>
      </c>
      <c r="D67" s="55" t="s">
        <v>1169</v>
      </c>
      <c r="E67" s="55" t="s">
        <v>1143</v>
      </c>
      <c r="F67" s="156">
        <v>46175</v>
      </c>
      <c r="G67" s="158"/>
      <c r="H67" s="55" t="s">
        <v>128</v>
      </c>
      <c r="I67" s="132" t="s">
        <v>1048</v>
      </c>
    </row>
    <row r="68" spans="1:9" ht="87" customHeight="1" x14ac:dyDescent="0.4">
      <c r="A68" s="133" t="s">
        <v>1252</v>
      </c>
      <c r="B68" s="55" t="s">
        <v>1253</v>
      </c>
      <c r="C68" s="55" t="s">
        <v>1091</v>
      </c>
      <c r="D68" s="55" t="s">
        <v>1255</v>
      </c>
      <c r="E68" s="55" t="s">
        <v>1092</v>
      </c>
      <c r="F68" s="156">
        <v>46211</v>
      </c>
      <c r="G68" s="158"/>
      <c r="H68" s="55" t="s">
        <v>128</v>
      </c>
      <c r="I68" s="132" t="s">
        <v>1048</v>
      </c>
    </row>
    <row r="69" spans="1:9" ht="87" customHeight="1" x14ac:dyDescent="0.4">
      <c r="A69" s="133" t="s">
        <v>1254</v>
      </c>
      <c r="B69" s="55" t="s">
        <v>1253</v>
      </c>
      <c r="C69" s="55" t="s">
        <v>1091</v>
      </c>
      <c r="D69" s="55" t="s">
        <v>1256</v>
      </c>
      <c r="E69" s="55" t="s">
        <v>1096</v>
      </c>
      <c r="F69" s="156">
        <v>46211</v>
      </c>
      <c r="G69" s="158"/>
      <c r="H69" s="55" t="s">
        <v>128</v>
      </c>
      <c r="I69" s="132" t="s">
        <v>1048</v>
      </c>
    </row>
    <row r="70" spans="1:9" ht="87" customHeight="1" x14ac:dyDescent="0.4">
      <c r="A70" s="133" t="s">
        <v>1302</v>
      </c>
      <c r="B70" s="55" t="s">
        <v>1303</v>
      </c>
      <c r="C70" s="55" t="s">
        <v>1304</v>
      </c>
      <c r="D70" s="132" t="s">
        <v>1305</v>
      </c>
      <c r="E70" s="55" t="s">
        <v>1092</v>
      </c>
      <c r="F70" s="137">
        <v>46211</v>
      </c>
      <c r="G70" s="158"/>
      <c r="H70" s="55" t="s">
        <v>128</v>
      </c>
      <c r="I70" s="132" t="s">
        <v>1048</v>
      </c>
    </row>
    <row r="71" spans="1:9" ht="87" customHeight="1" x14ac:dyDescent="0.4">
      <c r="A71" s="133" t="s">
        <v>1308</v>
      </c>
      <c r="B71" s="55" t="s">
        <v>1309</v>
      </c>
      <c r="C71" s="55" t="s">
        <v>1091</v>
      </c>
      <c r="D71" s="132" t="s">
        <v>1111</v>
      </c>
      <c r="E71" s="55" t="s">
        <v>1096</v>
      </c>
      <c r="F71" s="137">
        <v>46211</v>
      </c>
      <c r="G71" s="158"/>
      <c r="H71" s="55" t="s">
        <v>128</v>
      </c>
      <c r="I71" s="132" t="s">
        <v>1048</v>
      </c>
    </row>
  </sheetData>
  <autoFilter ref="A4:I30" xr:uid="{749757AD-45C3-477A-9ADF-739457008B88}">
    <filterColumn colId="6" showButton="0"/>
    <sortState xmlns:xlrd2="http://schemas.microsoft.com/office/spreadsheetml/2017/richdata2" ref="A5:I67">
      <sortCondition ref="A4:A30"/>
    </sortState>
  </autoFilter>
  <sortState xmlns:xlrd2="http://schemas.microsoft.com/office/spreadsheetml/2017/richdata2" ref="A5:I5">
    <sortCondition ref="A5:A8"/>
  </sortState>
  <mergeCells count="2">
    <mergeCell ref="A1:I2"/>
    <mergeCell ref="G4:H4"/>
  </mergeCells>
  <phoneticPr fontId="2" type="noConversion"/>
  <conditionalFormatting sqref="A31:A36 A62:A71">
    <cfRule type="expression" dxfId="3" priority="1">
      <formula>$A6=1</formula>
    </cfRule>
    <cfRule type="expression" dxfId="2" priority="2">
      <formula>#REF!="sim"</formula>
    </cfRule>
  </conditionalFormatting>
  <conditionalFormatting sqref="A37:A61">
    <cfRule type="expression" dxfId="1" priority="898">
      <formula>$A9=1</formula>
    </cfRule>
    <cfRule type="expression" dxfId="0" priority="899">
      <formula>#REF!="sim"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DE89-6FEF-4F7C-9987-479D4C3DAD75}">
  <dimension ref="B1:I21"/>
  <sheetViews>
    <sheetView zoomScale="130" zoomScaleNormal="130" workbookViewId="0">
      <selection activeCell="D7" sqref="D7"/>
    </sheetView>
  </sheetViews>
  <sheetFormatPr defaultColWidth="9.140625" defaultRowHeight="15" x14ac:dyDescent="0.25"/>
  <cols>
    <col min="1" max="1" width="9.140625" style="71"/>
    <col min="2" max="2" width="16.42578125" style="71" customWidth="1"/>
    <col min="3" max="3" width="18.7109375" style="71" customWidth="1"/>
    <col min="4" max="4" width="43.5703125" style="71" customWidth="1"/>
    <col min="5" max="5" width="18.140625" style="71" customWidth="1"/>
    <col min="6" max="6" width="22.5703125" style="71" customWidth="1"/>
    <col min="7" max="7" width="27.28515625" style="71" customWidth="1"/>
    <col min="8" max="8" width="39.42578125" style="71" customWidth="1"/>
    <col min="9" max="9" width="0.5703125" style="78" hidden="1" customWidth="1"/>
    <col min="10" max="16384" width="9.140625" style="71"/>
  </cols>
  <sheetData>
    <row r="1" spans="2:9" x14ac:dyDescent="0.25">
      <c r="B1" s="191" t="s">
        <v>1003</v>
      </c>
      <c r="C1" s="191"/>
      <c r="D1" s="191"/>
      <c r="E1" s="191"/>
      <c r="F1" s="191"/>
      <c r="G1" s="191"/>
      <c r="H1" s="191"/>
      <c r="I1" s="191"/>
    </row>
    <row r="2" spans="2:9" ht="42" customHeight="1" x14ac:dyDescent="0.25">
      <c r="B2" s="75" t="s">
        <v>1004</v>
      </c>
      <c r="C2" s="76" t="s">
        <v>21</v>
      </c>
      <c r="D2" s="76" t="s">
        <v>22</v>
      </c>
      <c r="E2" s="76" t="s">
        <v>25</v>
      </c>
      <c r="F2" s="76" t="s">
        <v>23</v>
      </c>
      <c r="G2" s="76" t="s">
        <v>1005</v>
      </c>
      <c r="H2" s="76" t="s">
        <v>1006</v>
      </c>
      <c r="I2" s="77" t="s">
        <v>1007</v>
      </c>
    </row>
    <row r="3" spans="2:9" ht="30" x14ac:dyDescent="0.25">
      <c r="B3" s="51">
        <v>1</v>
      </c>
      <c r="C3" s="51" t="s">
        <v>1008</v>
      </c>
      <c r="D3" s="52" t="s">
        <v>1009</v>
      </c>
      <c r="E3" s="51" t="s">
        <v>570</v>
      </c>
      <c r="F3" s="51" t="s">
        <v>709</v>
      </c>
      <c r="G3" s="73">
        <v>76.59</v>
      </c>
      <c r="H3" s="51"/>
      <c r="I3" s="74" t="s">
        <v>1010</v>
      </c>
    </row>
    <row r="4" spans="2:9" ht="30" x14ac:dyDescent="0.25">
      <c r="B4" s="51">
        <v>1</v>
      </c>
      <c r="C4" s="51" t="s">
        <v>1008</v>
      </c>
      <c r="D4" s="52" t="s">
        <v>1011</v>
      </c>
      <c r="E4" s="51" t="s">
        <v>570</v>
      </c>
      <c r="F4" s="51" t="s">
        <v>491</v>
      </c>
      <c r="G4" s="73">
        <v>265</v>
      </c>
      <c r="H4" s="51"/>
      <c r="I4" s="82" t="s">
        <v>1012</v>
      </c>
    </row>
    <row r="5" spans="2:9" x14ac:dyDescent="0.25">
      <c r="B5" s="51"/>
      <c r="C5" s="51" t="s">
        <v>1008</v>
      </c>
      <c r="D5" s="51" t="s">
        <v>1013</v>
      </c>
      <c r="E5" s="51"/>
      <c r="F5" s="51"/>
      <c r="G5" s="73">
        <v>110</v>
      </c>
      <c r="H5" s="51"/>
      <c r="I5" s="94" t="s">
        <v>1014</v>
      </c>
    </row>
    <row r="6" spans="2:9" x14ac:dyDescent="0.25">
      <c r="B6" s="51">
        <v>1</v>
      </c>
      <c r="C6" s="51" t="s">
        <v>296</v>
      </c>
      <c r="D6" s="51" t="s">
        <v>1015</v>
      </c>
      <c r="E6" s="51" t="s">
        <v>302</v>
      </c>
      <c r="F6" s="51" t="s">
        <v>1016</v>
      </c>
      <c r="G6" s="73">
        <v>383</v>
      </c>
      <c r="H6" s="51"/>
      <c r="I6" s="74" t="s">
        <v>1017</v>
      </c>
    </row>
    <row r="7" spans="2:9" x14ac:dyDescent="0.25">
      <c r="B7" s="51">
        <v>1</v>
      </c>
      <c r="C7" s="51" t="s">
        <v>296</v>
      </c>
      <c r="D7" s="51" t="s">
        <v>1018</v>
      </c>
      <c r="E7" s="51" t="s">
        <v>1019</v>
      </c>
      <c r="F7" s="51" t="s">
        <v>1016</v>
      </c>
      <c r="G7" s="73">
        <v>429</v>
      </c>
      <c r="H7" s="51"/>
      <c r="I7" s="74" t="s">
        <v>1020</v>
      </c>
    </row>
    <row r="8" spans="2:9" ht="30" x14ac:dyDescent="0.25">
      <c r="B8" s="51">
        <v>2</v>
      </c>
      <c r="C8" s="51" t="s">
        <v>1021</v>
      </c>
      <c r="D8" s="52" t="s">
        <v>1022</v>
      </c>
      <c r="E8" s="51" t="s">
        <v>649</v>
      </c>
      <c r="F8" s="51" t="s">
        <v>1023</v>
      </c>
      <c r="G8" s="73">
        <v>363.99</v>
      </c>
      <c r="H8" s="51"/>
      <c r="I8" s="74" t="s">
        <v>1024</v>
      </c>
    </row>
    <row r="9" spans="2:9" ht="30" x14ac:dyDescent="0.25">
      <c r="B9" s="51">
        <v>1</v>
      </c>
      <c r="C9" s="51" t="s">
        <v>1025</v>
      </c>
      <c r="D9" s="51" t="s">
        <v>1026</v>
      </c>
      <c r="E9" s="51" t="s">
        <v>570</v>
      </c>
      <c r="F9" s="52" t="s">
        <v>1027</v>
      </c>
      <c r="G9" s="73" t="s">
        <v>1028</v>
      </c>
      <c r="H9" s="51"/>
      <c r="I9" s="190" t="s">
        <v>1029</v>
      </c>
    </row>
    <row r="10" spans="2:9" ht="30" x14ac:dyDescent="0.25">
      <c r="B10" s="51">
        <v>1</v>
      </c>
      <c r="C10" s="51" t="s">
        <v>1025</v>
      </c>
      <c r="D10" s="51" t="s">
        <v>1030</v>
      </c>
      <c r="E10" s="51" t="s">
        <v>570</v>
      </c>
      <c r="F10" s="52" t="s">
        <v>1027</v>
      </c>
      <c r="G10" s="73" t="s">
        <v>1028</v>
      </c>
      <c r="H10" s="51"/>
      <c r="I10" s="190"/>
    </row>
    <row r="11" spans="2:9" x14ac:dyDescent="0.25">
      <c r="B11" s="51">
        <v>1</v>
      </c>
      <c r="C11" s="51" t="s">
        <v>1025</v>
      </c>
      <c r="D11" s="51" t="s">
        <v>1031</v>
      </c>
      <c r="E11" s="51" t="s">
        <v>570</v>
      </c>
      <c r="F11" s="52" t="s">
        <v>1032</v>
      </c>
      <c r="G11" s="73" t="s">
        <v>1028</v>
      </c>
      <c r="H11" s="51"/>
      <c r="I11" s="190"/>
    </row>
    <row r="12" spans="2:9" x14ac:dyDescent="0.25">
      <c r="B12" s="51">
        <v>1</v>
      </c>
      <c r="C12" s="51" t="s">
        <v>1025</v>
      </c>
      <c r="D12" s="51" t="s">
        <v>1033</v>
      </c>
      <c r="E12" s="51" t="s">
        <v>570</v>
      </c>
      <c r="F12" s="52" t="s">
        <v>1032</v>
      </c>
      <c r="G12" s="73">
        <v>144.65</v>
      </c>
      <c r="H12" s="51"/>
      <c r="I12" s="190"/>
    </row>
    <row r="13" spans="2:9" x14ac:dyDescent="0.25">
      <c r="B13" s="51">
        <v>1</v>
      </c>
      <c r="C13" s="51" t="s">
        <v>1025</v>
      </c>
      <c r="D13" s="51" t="s">
        <v>1034</v>
      </c>
      <c r="E13" s="51" t="s">
        <v>570</v>
      </c>
      <c r="F13" s="52" t="s">
        <v>1032</v>
      </c>
      <c r="G13" s="73">
        <v>144.65</v>
      </c>
      <c r="H13" s="51"/>
      <c r="I13" s="190"/>
    </row>
    <row r="14" spans="2:9" x14ac:dyDescent="0.25">
      <c r="G14" s="72"/>
    </row>
    <row r="15" spans="2:9" x14ac:dyDescent="0.25">
      <c r="G15" s="72"/>
    </row>
    <row r="16" spans="2:9" x14ac:dyDescent="0.25">
      <c r="G16" s="72"/>
    </row>
    <row r="17" spans="7:7" x14ac:dyDescent="0.25">
      <c r="G17" s="72"/>
    </row>
    <row r="18" spans="7:7" x14ac:dyDescent="0.25">
      <c r="G18" s="72"/>
    </row>
    <row r="19" spans="7:7" x14ac:dyDescent="0.25">
      <c r="G19" s="72"/>
    </row>
    <row r="20" spans="7:7" x14ac:dyDescent="0.25">
      <c r="G20" s="72"/>
    </row>
    <row r="21" spans="7:7" x14ac:dyDescent="0.25">
      <c r="G21" s="72"/>
    </row>
  </sheetData>
  <mergeCells count="2">
    <mergeCell ref="I9:I13"/>
    <mergeCell ref="B1:I1"/>
  </mergeCells>
  <hyperlinks>
    <hyperlink ref="I6" r:id="rId1" display="https://www.lojametrotokyo.com.br/dureza/durometros-shore-a-c-asker-c-d-00/durometro-shore-a-borrachas-moles-mtk-1030-certificado-de-calibracao-rastreavel-rbcinmetro?parceiro=5339&amp;gad_source=1&amp;gad_campaignid=17348606087&amp;gbraid=0AAAAADG1SxfeNXIBXDf4yfz6lGbLwOYfR&amp;gclid=Cj0KCQjwndHEBhDVARIsAGh0g3DuS8CSl1baCYRtMh4PIULYoAV4NdXuVW57kd3GCEhXnlWX74S4gxIaAsJ-EALw_wcB" xr:uid="{F1532728-563C-4DE1-ACA9-E8CAFEB8C637}"/>
    <hyperlink ref="I7" r:id="rId2" xr:uid="{2ED89423-A55D-4374-B636-E8F6E49C009A}"/>
    <hyperlink ref="I8" r:id="rId3" display="https://www.tecnoferramentas.com.br/paquimetro-universal-0_300mm-resolucao-de-002mm_001-polegadas-fabricado-kingtools-501300/p?idsku=2005408&amp;utm_source=google&amp;utm_medium=cpc&amp;utm_campaign=Pmax_Smart-Shopping&amp;utm_content=&amp;utm_term=&amp;gad_source=4&amp;gad_campaignid=17177580618&amp;gbraid=0AAAAADy1nPfYXdnBABVjY_gLwN2OHC0Sj&amp;gclid=Cj0KCQjwndHEBhDVARIsAGh0g3AtRLCbZGBcJ5I7OdWvIp6pgXXF6ZBesNB963qIWPiQiCDVDaVqIyUaAkCyEALw_wcB" xr:uid="{535E9AB8-0D98-4E47-A504-779A9304BEF6}"/>
    <hyperlink ref="I3" r:id="rId4" xr:uid="{C55EA969-4976-400D-9828-43BE1DCEFA43}"/>
    <hyperlink ref="I9" r:id="rId5" display="https://www.mercadolivre.com.br/jogo-de-micrometros-externos-0-a-125mm--kit-com-5-pecas/up/MLBU773375414?pdp_filters=item_id:MLB3778069892" xr:uid="{671AC611-BDD7-45CD-A4F0-49B9AB4D49C4}"/>
    <hyperlink ref="I5" r:id="rId6" location="polycard_client=search-nordic&amp;position=42&amp;search_layout=grid&amp;type=item&amp;tracking_id=5a270f73-f38c-4a36-8155-83025ea21c67&amp;wid=MLB2717472852&amp;sid=search" display="https://produto.mercadolivre.com.br/MLB-2717472852-kit-10-pontas-contato-relogio-comparador-digimess-mitutoyo-_JM#polycard_client=search-nordic&amp;position=42&amp;search_layout=grid&amp;type=item&amp;tracking_id=5a270f73-f38c-4a36-8155-83025ea21c67&amp;wid=MLB2717472852&amp;sid=search" xr:uid="{6256FE52-ABCD-45E3-8625-A0D98D43CA7F}"/>
    <hyperlink ref="I4" r:id="rId7" location="polycard_client=search-nordic&amp;searchVariation=MLB24640423&amp;wid=MLB3392737933&amp;position=5&amp;search_layout=grid&amp;type=product&amp;tracking_id=683095c0-5195-474b-a734-52075294c025&amp;sid=search " display="https://www.mercadolivre.com.br/relogio-comparador-mitutoyo-0-10mm-x-001mm-2046s/p/MLB24640423#polycard_client=search-nordic&amp;searchVariation=MLB24640423&amp;wid=MLB3392737933&amp;position=5&amp;search_layout=grid&amp;type=product&amp;tracking_id=683095c0-5195-474b-a734-52075294c025&amp;sid=search " xr:uid="{86BCDC6D-B734-42B7-A6BF-76B34F3FB3C2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15B4E92F863043807C8CA22FB59271" ma:contentTypeVersion="3" ma:contentTypeDescription="Crie um novo documento." ma:contentTypeScope="" ma:versionID="a98f81090ecb2bcaeb966640047b18de">
  <xsd:schema xmlns:xsd="http://www.w3.org/2001/XMLSchema" xmlns:xs="http://www.w3.org/2001/XMLSchema" xmlns:p="http://schemas.microsoft.com/office/2006/metadata/properties" xmlns:ns2="00adbb0a-b4b3-4afc-8b73-4f568d061067" targetNamespace="http://schemas.microsoft.com/office/2006/metadata/properties" ma:root="true" ma:fieldsID="572dae6a62731a4a9be81e224ef716e0" ns2:_="">
    <xsd:import namespace="00adbb0a-b4b3-4afc-8b73-4f568d0610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dbb0a-b4b3-4afc-8b73-4f568d0610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382190-D319-4F2E-B178-A4CBBA24412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FA2BC25-E66D-4DB4-A4E8-B9BB0A1A34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CA1EDE-D47A-40BE-9643-3EAC7C3A5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adbb0a-b4b3-4afc-8b73-4f568d061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Responsáveis por Instrumentos</vt:lpstr>
      <vt:lpstr>METROLOGIA </vt:lpstr>
      <vt:lpstr>Planilha1</vt:lpstr>
      <vt:lpstr>IMR</vt:lpstr>
      <vt:lpstr>Orçamento</vt:lpstr>
      <vt:lpstr>'METROLOGIA 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Silva</dc:creator>
  <cp:keywords/>
  <dc:description/>
  <cp:lastModifiedBy>Sarah Sulamita</cp:lastModifiedBy>
  <cp:revision/>
  <cp:lastPrinted>2026-08-11T18:49:14Z</cp:lastPrinted>
  <dcterms:created xsi:type="dcterms:W3CDTF">2023-12-02T13:23:28Z</dcterms:created>
  <dcterms:modified xsi:type="dcterms:W3CDTF">2026-08-28T14:08:38Z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0x0101008615B4E92F863043807C8CA22FB59271</vt:lpwstr>
  </property>
</Properties>
</file>